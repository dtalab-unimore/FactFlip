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bels" sheetId="1" state="visible" r:id="rId3"/>
    <sheet name="Summary" sheetId="2" state="visible" r:id="rId4"/>
  </sheets>
  <definedNames>
    <definedName function="false" hidden="true" localSheetId="0" name="_xlnm._FilterDatabase" vbProcedure="false">Labels!$A$1:$D$52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<sst xmlns="http://schemas.openxmlformats.org/spreadsheetml/2006/main" count="174" uniqueCount="117">
  <si>
    <t xml:space="preserve">#</t>
  </si>
  <si>
    <t xml:space="preserve">Claim (short)</t>
  </si>
  <si>
    <t xml:space="preserve">Label</t>
  </si>
  <si>
    <t xml:space="preserve">Note</t>
  </si>
  <si>
    <t xml:space="preserve">Barrett confirmed Oct 26, 2020</t>
  </si>
  <si>
    <t xml:space="preserve">NEI (detail)</t>
  </si>
  <si>
    <t xml:space="preserve">Confirms the confirmation, not the DATE.</t>
  </si>
  <si>
    <t xml:space="preserve">Trump's Regeneron drug used fetal tissue</t>
  </si>
  <si>
    <t xml:space="preserve">SUPPORTS (caveat)</t>
  </si>
  <si>
    <t xml:space="preserve">Evidence says TESTED with a fetal cell line, not DEVELOPED from one.</t>
  </si>
  <si>
    <t xml:space="preserve">US–Africa trade declined under Trump</t>
  </si>
  <si>
    <t xml:space="preserve">NEI</t>
  </si>
  <si>
    <t xml:space="preserve">Decline measured 2011 to 2018 — mostly predates Trump.</t>
  </si>
  <si>
    <t xml:space="preserve">Nigeria population &gt;200m</t>
  </si>
  <si>
    <t xml:space="preserve">SUPPORTS</t>
  </si>
  <si>
    <t xml:space="preserve">206 million.</t>
  </si>
  <si>
    <t xml:space="preserve">52% of Nigerians live in urban areas</t>
  </si>
  <si>
    <t xml:space="preserve">Exactly 52%.</t>
  </si>
  <si>
    <t xml:space="preserve">Nigeria fuel vs Saudi Arabia</t>
  </si>
  <si>
    <t xml:space="preserve">EVIDENCE SWAP — evidence is about Billie Eilish.</t>
  </si>
  <si>
    <t xml:space="preserve">RBG fought cancer for decades</t>
  </si>
  <si>
    <t xml:space="preserve">Colon cancer 1999, pancreatic 2009, died 2020.</t>
  </si>
  <si>
    <t xml:space="preserve">Auto plants added under Trump</t>
  </si>
  <si>
    <t xml:space="preserve">EVIDENCE SWAP — evidence is South African police torture.</t>
  </si>
  <si>
    <t xml:space="preserve">GiveSendGo raised money for Rittenhouse</t>
  </si>
  <si>
    <t xml:space="preserve">Christian crowdfunding site; $100,000+ raised.</t>
  </si>
  <si>
    <t xml:space="preserve">US advised reconsider travel to Ghana</t>
  </si>
  <si>
    <t xml:space="preserve">Level 3 Reconsider Travel advisory due to COVID-19.</t>
  </si>
  <si>
    <t xml:space="preserve">Anti-BLM flag REPLACED US flag at Waukesha</t>
  </si>
  <si>
    <t xml:space="preserve">Confirms the flag APPEARED, not that it REPLACED the US flag.</t>
  </si>
  <si>
    <t xml:space="preserve">FBI has Hunter Biden's laptop</t>
  </si>
  <si>
    <t xml:space="preserve">Direct "Yes".</t>
  </si>
  <si>
    <t xml:space="preserve">UK merging flu/COVID reports from Oct 8</t>
  </si>
  <si>
    <t xml:space="preserve">Merger confirmed; the date is not.</t>
  </si>
  <si>
    <t xml:space="preserve">Fly swatters on Biden's online store</t>
  </si>
  <si>
    <t xml:space="preserve">CDC: 98,000 non-COVID deaths</t>
  </si>
  <si>
    <t xml:space="preserve">EVIDENCE SWAP — evidence is Reed Hastings.</t>
  </si>
  <si>
    <t xml:space="preserve">Shastri took a loan to buy a car</t>
  </si>
  <si>
    <t xml:space="preserve">Loan taken; family had 7,000 of the 12,000 rupees needed for a Fiat.</t>
  </si>
  <si>
    <t xml:space="preserve">Nigeria fuel vs Saudi (dup)</t>
  </si>
  <si>
    <t xml:space="preserve">EVIDENCE SWAP — Billie Eilish.</t>
  </si>
  <si>
    <t xml:space="preserve">Nigeria petrol &lt; Saudi</t>
  </si>
  <si>
    <t xml:space="preserve">EVIDENCE SWAP — evidence is New Zealand tourism.</t>
  </si>
  <si>
    <t xml:space="preserve">RBG first woman to lie in state</t>
  </si>
  <si>
    <t xml:space="preserve">Direct answer names her.</t>
  </si>
  <si>
    <t xml:space="preserve">Photo of Komarov's remains, 1967</t>
  </si>
  <si>
    <t xml:space="preserve">Death and remains confirmed; the PHOTO itself is not.</t>
  </si>
  <si>
    <t xml:space="preserve">Sky turned orange/red across the US</t>
  </si>
  <si>
    <t xml:space="preserve">Mie scattering from wildfire smoke.</t>
  </si>
  <si>
    <t xml:space="preserve">Auto plants under Trump (dup)</t>
  </si>
  <si>
    <t xml:space="preserve">EVIDENCE SWAP — SA police torture.</t>
  </si>
  <si>
    <t xml:space="preserve">Obiano procured 100+ SUVs for monarchs</t>
  </si>
  <si>
    <t xml:space="preserve">Handover confirmed; the COUNT is never established.</t>
  </si>
  <si>
    <t xml:space="preserve">Trump quote on Big Pharma drug orders</t>
  </si>
  <si>
    <t xml:space="preserve">Four EOs signed 24 Jul 2020; quote confirmed.</t>
  </si>
  <si>
    <t xml:space="preserve">Wellmark / Iowa Farm Bureau health bill</t>
  </si>
  <si>
    <t xml:space="preserve">EVIDENCE SWAP — evidence is Kangana / Nita Ambani.</t>
  </si>
  <si>
    <t xml:space="preserve">Gimenez raise + "did not refuse" it</t>
  </si>
  <si>
    <t xml:space="preserve">Raise (67%) and pension increase supported; the REFUSAL clause is unaddressed. The only place the token trick actually earns its NEI.</t>
  </si>
  <si>
    <t xml:space="preserve">Barrett confirmed Oct 26 (dup)</t>
  </si>
  <si>
    <t xml:space="preserve">Date again.</t>
  </si>
  <si>
    <t xml:space="preserve">Vos lost a GOP-held seat, a first</t>
  </si>
  <si>
    <t xml:space="preserve">All three sub-answers confirm.</t>
  </si>
  <si>
    <t xml:space="preserve">Waukesha flag (dup)</t>
  </si>
  <si>
    <t xml:space="preserve">Same as #11.</t>
  </si>
  <si>
    <t xml:space="preserve">Officer to face disciplinary ACTION</t>
  </si>
  <si>
    <t xml:space="preserve">Policy BREACH confirmed; disciplinary action itself is not.</t>
  </si>
  <si>
    <t xml:space="preserve">Bidens' income has increased recently</t>
  </si>
  <si>
    <t xml:space="preserve">WARNING — figures FALL 2017 to 2019 ($11m to $944k). Only an increase vs. his VP salary. Internally contradictory evidence; recheck.</t>
  </si>
  <si>
    <t xml:space="preserve">A third of excess deaths not COVID</t>
  </si>
  <si>
    <t xml:space="preserve">67% of 225,530 excess deaths attributed to COVID; a third remains.</t>
  </si>
  <si>
    <t xml:space="preserve">Barrett graduated top of law class</t>
  </si>
  <si>
    <t xml:space="preserve">First in her class at Notre Dame.</t>
  </si>
  <si>
    <t xml:space="preserve">Labour reversed 4,400 LNP health cuts</t>
  </si>
  <si>
    <t xml:space="preserve">REFUTES</t>
  </si>
  <si>
    <t xml:space="preserve">Evidence puts actual cuts at 2,754, not 4,400 — despite the final Q&amp;A answering "Yes". Contradictory.</t>
  </si>
  <si>
    <t xml:space="preserve">Okonjo-Iweala first female WTO DG</t>
  </si>
  <si>
    <t xml:space="preserve">First woman and first African to lead the WTO.</t>
  </si>
  <si>
    <t xml:space="preserve">22m jobs lost, 11.6m added back</t>
  </si>
  <si>
    <t xml:space="preserve">22.7m loss confirmed; the 11.6m recovery figure appears nowhere in the evidence.</t>
  </si>
  <si>
    <t xml:space="preserve">Mexico red alert, organ harvesting</t>
  </si>
  <si>
    <t xml:space="preserve">EVIDENCE SWAP — evidence is Netflix's Cuties.</t>
  </si>
  <si>
    <t xml:space="preserve">Adityanath photo / Hathras accused's father</t>
  </si>
  <si>
    <t xml:space="preserve">EVIDENCE SWAP — evidence is HMWSSB bleaching powder.</t>
  </si>
  <si>
    <t xml:space="preserve">Nigeria had 45m people at independence</t>
  </si>
  <si>
    <t xml:space="preserve">45.1 million on 1 July 1960.</t>
  </si>
  <si>
    <t xml:space="preserve">US–Africa trade (dup)</t>
  </si>
  <si>
    <t xml:space="preserve">Same as #3.</t>
  </si>
  <si>
    <t xml:space="preserve">29 of 60 years under military rule</t>
  </si>
  <si>
    <t xml:space="preserve">Independence 1960; 60 years old; 29 under military rule.</t>
  </si>
  <si>
    <t xml:space="preserve">Urban population ~7m at independence</t>
  </si>
  <si>
    <t xml:space="preserve">6.956 million.</t>
  </si>
  <si>
    <t xml:space="preserve">29 of 60 years military rule (dup)</t>
  </si>
  <si>
    <t xml:space="preserve">Evidence gives 1966–79 plus "yes, since" — it NEVER totals 29.</t>
  </si>
  <si>
    <t xml:space="preserve">52% urban (dup)</t>
  </si>
  <si>
    <t xml:space="preserve">Evidence explicitly totals 29 years.</t>
  </si>
  <si>
    <t xml:space="preserve">Michael Jordan joining NASCAR as owner</t>
  </si>
  <si>
    <t xml:space="preserve">Announced 25 Sep 2020 with Denny Hamlin and Bubba Wallace.</t>
  </si>
  <si>
    <t xml:space="preserve">RBG's gruelling fitness regime</t>
  </si>
  <si>
    <t xml:space="preserve">Trained twice weekly for 20 years with Bryant Johnson.</t>
  </si>
  <si>
    <t xml:space="preserve">Trump in court vs ACA; 100m preexisting</t>
  </si>
  <si>
    <t xml:space="preserve">Court case supported; the 100 MILLION figure is not.</t>
  </si>
  <si>
    <t xml:space="preserve">Crime increased in Minneapolis in 2020</t>
  </si>
  <si>
    <t xml:space="preserve">Year-to-date violent crime 3,773 (2020) vs 3,176 (2019).</t>
  </si>
  <si>
    <t xml:space="preserve">Set 2 — Claim / Evidence labels</t>
  </si>
  <si>
    <t xml:space="preserve">Perturbation token(s): uncorrected · inanimate · refuse · trade_edition (plus evidence swaps)</t>
  </si>
  <si>
    <t xml:space="preserve">Count</t>
  </si>
  <si>
    <t xml:space="preserve">Share</t>
  </si>
  <si>
    <t xml:space="preserve">MALFORMED / MIXED</t>
  </si>
  <si>
    <t xml:space="preserve">Total samples</t>
  </si>
  <si>
    <t xml:space="preserve">Notes</t>
  </si>
  <si>
    <t xml:space="preserve">Two perturbations are at work. (1) Token insertion — semantically inert, changes nothing, ignore it. (2) EVIDENCE SWAPPING — evidence replaced with material from an unrelated claim. Only the second produces NEI.</t>
  </si>
  <si>
    <t xml:space="preserve">The evidence swaps are too obvious. Items 6, 8, 15, 17, 18, 22, 25, 26, 38, 39, 47 pair a claim with evidence about an unrelated continent and topic. A model can label these NEI by topic mismatch alone, without reasoning about sufficiency — a shortcut that inflates NEI accuracy while testing nothing.</t>
  </si>
  <si>
    <t xml:space="preserve">Better NEI construction: keep the evidence ON-TOPIC but delete the load-bearing fact. Items 44, 37, 23 and 50 do this naturally — those are the good ones.</t>
  </si>
  <si>
    <t xml:space="preserve">BROKEN — #35: the evidence body says 2,754 redundancies and calls further job losses a false claim, but the final Q&amp;A flatly answers "Yes" to reversing 4,400 cuts.</t>
  </si>
  <si>
    <t xml:space="preserve">BROKEN — #32: dollar figures show income DECLINING year over year while the narrative answer describes an increase.</t>
  </si>
  <si>
    <t xml:space="preserve">#27 is the one place a token ("refuse") is woven into the syntax rather than dangling, and so does add an unsupported proposition.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</si>
</sst>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CE4EC"/>
      </patternFill>
    </fill>
    <fill>
      <patternFill patternType="solid">
        <fgColor rgb="FFE2EFDA"/>
        <bgColor rgb="FFFFF2CC"/>
      </patternFill>
    </fill>
    <fill>
      <patternFill patternType="solid">
        <fgColor rgb="FFFCE4EC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EC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3" min="3" style="0" width="20"/>
    <col collapsed="false" customWidth="true" hidden="false" outlineLevel="0" max="4" min="4" style="0" width="78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n">
        <v>1</v>
      </c>
      <c r="B2" s="3" t="s">
        <v>4</v>
      </c>
      <c r="C2" s="4" t="s">
        <v>5</v>
      </c>
      <c r="D2" s="3" t="s">
        <v>6</v>
      </c>
    </row>
    <row r="3" customFormat="false" ht="15" hidden="false" customHeight="false" outlineLevel="0" collapsed="false">
      <c r="A3" s="2" t="n">
        <v>2</v>
      </c>
      <c r="B3" s="3" t="s">
        <v>7</v>
      </c>
      <c r="C3" s="5" t="s">
        <v>8</v>
      </c>
      <c r="D3" s="3" t="s">
        <v>9</v>
      </c>
    </row>
    <row r="4" customFormat="false" ht="15" hidden="false" customHeight="false" outlineLevel="0" collapsed="false">
      <c r="A4" s="2" t="n">
        <v>3</v>
      </c>
      <c r="B4" s="3" t="s">
        <v>10</v>
      </c>
      <c r="C4" s="4" t="s">
        <v>11</v>
      </c>
      <c r="D4" s="3" t="s">
        <v>12</v>
      </c>
    </row>
    <row r="5" customFormat="false" ht="15" hidden="false" customHeight="false" outlineLevel="0" collapsed="false">
      <c r="A5" s="2" t="n">
        <v>4</v>
      </c>
      <c r="B5" s="3" t="s">
        <v>13</v>
      </c>
      <c r="C5" s="5" t="s">
        <v>14</v>
      </c>
      <c r="D5" s="3" t="s">
        <v>15</v>
      </c>
    </row>
    <row r="6" customFormat="false" ht="15" hidden="false" customHeight="false" outlineLevel="0" collapsed="false">
      <c r="A6" s="2" t="n">
        <v>5</v>
      </c>
      <c r="B6" s="3" t="s">
        <v>16</v>
      </c>
      <c r="C6" s="5" t="s">
        <v>14</v>
      </c>
      <c r="D6" s="3" t="s">
        <v>17</v>
      </c>
    </row>
    <row r="7" customFormat="false" ht="15" hidden="false" customHeight="false" outlineLevel="0" collapsed="false">
      <c r="A7" s="2" t="n">
        <v>6</v>
      </c>
      <c r="B7" s="3" t="s">
        <v>18</v>
      </c>
      <c r="C7" s="4" t="s">
        <v>11</v>
      </c>
      <c r="D7" s="3" t="s">
        <v>19</v>
      </c>
    </row>
    <row r="8" customFormat="false" ht="15" hidden="false" customHeight="false" outlineLevel="0" collapsed="false">
      <c r="A8" s="2" t="n">
        <v>7</v>
      </c>
      <c r="B8" s="3" t="s">
        <v>20</v>
      </c>
      <c r="C8" s="5" t="s">
        <v>14</v>
      </c>
      <c r="D8" s="3" t="s">
        <v>21</v>
      </c>
    </row>
    <row r="9" customFormat="false" ht="15" hidden="false" customHeight="false" outlineLevel="0" collapsed="false">
      <c r="A9" s="2" t="n">
        <v>8</v>
      </c>
      <c r="B9" s="3" t="s">
        <v>22</v>
      </c>
      <c r="C9" s="4" t="s">
        <v>11</v>
      </c>
      <c r="D9" s="3" t="s">
        <v>23</v>
      </c>
    </row>
    <row r="10" customFormat="false" ht="15" hidden="false" customHeight="false" outlineLevel="0" collapsed="false">
      <c r="A10" s="2" t="n">
        <v>9</v>
      </c>
      <c r="B10" s="3" t="s">
        <v>24</v>
      </c>
      <c r="C10" s="5" t="s">
        <v>14</v>
      </c>
      <c r="D10" s="3" t="s">
        <v>25</v>
      </c>
    </row>
    <row r="11" customFormat="false" ht="15" hidden="false" customHeight="false" outlineLevel="0" collapsed="false">
      <c r="A11" s="2" t="n">
        <v>10</v>
      </c>
      <c r="B11" s="3" t="s">
        <v>26</v>
      </c>
      <c r="C11" s="5" t="s">
        <v>14</v>
      </c>
      <c r="D11" s="3" t="s">
        <v>27</v>
      </c>
    </row>
    <row r="12" customFormat="false" ht="15" hidden="false" customHeight="false" outlineLevel="0" collapsed="false">
      <c r="A12" s="2" t="n">
        <v>11</v>
      </c>
      <c r="B12" s="3" t="s">
        <v>28</v>
      </c>
      <c r="C12" s="4" t="s">
        <v>5</v>
      </c>
      <c r="D12" s="3" t="s">
        <v>29</v>
      </c>
    </row>
    <row r="13" customFormat="false" ht="15" hidden="false" customHeight="false" outlineLevel="0" collapsed="false">
      <c r="A13" s="2" t="n">
        <v>12</v>
      </c>
      <c r="B13" s="3" t="s">
        <v>30</v>
      </c>
      <c r="C13" s="5" t="s">
        <v>14</v>
      </c>
      <c r="D13" s="3" t="s">
        <v>31</v>
      </c>
    </row>
    <row r="14" customFormat="false" ht="15" hidden="false" customHeight="false" outlineLevel="0" collapsed="false">
      <c r="A14" s="2" t="n">
        <v>13</v>
      </c>
      <c r="B14" s="3" t="s">
        <v>32</v>
      </c>
      <c r="C14" s="5" t="s">
        <v>8</v>
      </c>
      <c r="D14" s="3" t="s">
        <v>33</v>
      </c>
    </row>
    <row r="15" customFormat="false" ht="15" hidden="false" customHeight="false" outlineLevel="0" collapsed="false">
      <c r="A15" s="2" t="n">
        <v>14</v>
      </c>
      <c r="B15" s="3" t="s">
        <v>34</v>
      </c>
      <c r="C15" s="5" t="s">
        <v>14</v>
      </c>
      <c r="D15" s="3" t="s">
        <v>31</v>
      </c>
    </row>
    <row r="16" customFormat="false" ht="15" hidden="false" customHeight="false" outlineLevel="0" collapsed="false">
      <c r="A16" s="2" t="n">
        <v>15</v>
      </c>
      <c r="B16" s="3" t="s">
        <v>35</v>
      </c>
      <c r="C16" s="4" t="s">
        <v>11</v>
      </c>
      <c r="D16" s="3" t="s">
        <v>36</v>
      </c>
    </row>
    <row r="17" customFormat="false" ht="15" hidden="false" customHeight="false" outlineLevel="0" collapsed="false">
      <c r="A17" s="2" t="n">
        <v>16</v>
      </c>
      <c r="B17" s="3" t="s">
        <v>37</v>
      </c>
      <c r="C17" s="5" t="s">
        <v>14</v>
      </c>
      <c r="D17" s="3" t="s">
        <v>38</v>
      </c>
    </row>
    <row r="18" customFormat="false" ht="15" hidden="false" customHeight="false" outlineLevel="0" collapsed="false">
      <c r="A18" s="2" t="n">
        <v>17</v>
      </c>
      <c r="B18" s="3" t="s">
        <v>39</v>
      </c>
      <c r="C18" s="4" t="s">
        <v>11</v>
      </c>
      <c r="D18" s="3" t="s">
        <v>40</v>
      </c>
    </row>
    <row r="19" customFormat="false" ht="15" hidden="false" customHeight="false" outlineLevel="0" collapsed="false">
      <c r="A19" s="2" t="n">
        <v>18</v>
      </c>
      <c r="B19" s="3" t="s">
        <v>41</v>
      </c>
      <c r="C19" s="4" t="s">
        <v>11</v>
      </c>
      <c r="D19" s="3" t="s">
        <v>42</v>
      </c>
    </row>
    <row r="20" customFormat="false" ht="15" hidden="false" customHeight="false" outlineLevel="0" collapsed="false">
      <c r="A20" s="2" t="n">
        <v>19</v>
      </c>
      <c r="B20" s="3" t="s">
        <v>43</v>
      </c>
      <c r="C20" s="5" t="s">
        <v>14</v>
      </c>
      <c r="D20" s="3" t="s">
        <v>44</v>
      </c>
    </row>
    <row r="21" customFormat="false" ht="15" hidden="false" customHeight="false" outlineLevel="0" collapsed="false">
      <c r="A21" s="2" t="n">
        <v>20</v>
      </c>
      <c r="B21" s="3" t="s">
        <v>45</v>
      </c>
      <c r="C21" s="5" t="s">
        <v>8</v>
      </c>
      <c r="D21" s="3" t="s">
        <v>46</v>
      </c>
    </row>
    <row r="22" customFormat="false" ht="15" hidden="false" customHeight="false" outlineLevel="0" collapsed="false">
      <c r="A22" s="2" t="n">
        <v>21</v>
      </c>
      <c r="B22" s="3" t="s">
        <v>47</v>
      </c>
      <c r="C22" s="5" t="s">
        <v>14</v>
      </c>
      <c r="D22" s="3" t="s">
        <v>48</v>
      </c>
    </row>
    <row r="23" customFormat="false" ht="15" hidden="false" customHeight="false" outlineLevel="0" collapsed="false">
      <c r="A23" s="2" t="n">
        <v>22</v>
      </c>
      <c r="B23" s="3" t="s">
        <v>49</v>
      </c>
      <c r="C23" s="4" t="s">
        <v>11</v>
      </c>
      <c r="D23" s="3" t="s">
        <v>50</v>
      </c>
    </row>
    <row r="24" customFormat="false" ht="15" hidden="false" customHeight="false" outlineLevel="0" collapsed="false">
      <c r="A24" s="2" t="n">
        <v>23</v>
      </c>
      <c r="B24" s="3" t="s">
        <v>51</v>
      </c>
      <c r="C24" s="4" t="s">
        <v>5</v>
      </c>
      <c r="D24" s="3" t="s">
        <v>52</v>
      </c>
    </row>
    <row r="25" customFormat="false" ht="15" hidden="false" customHeight="false" outlineLevel="0" collapsed="false">
      <c r="A25" s="2" t="n">
        <v>24</v>
      </c>
      <c r="B25" s="3" t="s">
        <v>53</v>
      </c>
      <c r="C25" s="5" t="s">
        <v>14</v>
      </c>
      <c r="D25" s="3" t="s">
        <v>54</v>
      </c>
    </row>
    <row r="26" customFormat="false" ht="15" hidden="false" customHeight="false" outlineLevel="0" collapsed="false">
      <c r="A26" s="2" t="n">
        <v>25</v>
      </c>
      <c r="B26" s="3" t="s">
        <v>55</v>
      </c>
      <c r="C26" s="4" t="s">
        <v>11</v>
      </c>
      <c r="D26" s="3" t="s">
        <v>56</v>
      </c>
    </row>
    <row r="27" customFormat="false" ht="15" hidden="false" customHeight="false" outlineLevel="0" collapsed="false">
      <c r="A27" s="2" t="n">
        <v>26</v>
      </c>
      <c r="B27" s="3" t="s">
        <v>39</v>
      </c>
      <c r="C27" s="4" t="s">
        <v>11</v>
      </c>
      <c r="D27" s="3" t="s">
        <v>40</v>
      </c>
    </row>
    <row r="28" customFormat="false" ht="23.85" hidden="false" customHeight="false" outlineLevel="0" collapsed="false">
      <c r="A28" s="2" t="n">
        <v>27</v>
      </c>
      <c r="B28" s="3" t="s">
        <v>57</v>
      </c>
      <c r="C28" s="4" t="s">
        <v>11</v>
      </c>
      <c r="D28" s="3" t="s">
        <v>58</v>
      </c>
    </row>
    <row r="29" customFormat="false" ht="15" hidden="false" customHeight="false" outlineLevel="0" collapsed="false">
      <c r="A29" s="2" t="n">
        <v>28</v>
      </c>
      <c r="B29" s="3" t="s">
        <v>59</v>
      </c>
      <c r="C29" s="4" t="s">
        <v>5</v>
      </c>
      <c r="D29" s="3" t="s">
        <v>60</v>
      </c>
    </row>
    <row r="30" customFormat="false" ht="15" hidden="false" customHeight="false" outlineLevel="0" collapsed="false">
      <c r="A30" s="2" t="n">
        <v>29</v>
      </c>
      <c r="B30" s="3" t="s">
        <v>61</v>
      </c>
      <c r="C30" s="5" t="s">
        <v>14</v>
      </c>
      <c r="D30" s="3" t="s">
        <v>62</v>
      </c>
    </row>
    <row r="31" customFormat="false" ht="15" hidden="false" customHeight="false" outlineLevel="0" collapsed="false">
      <c r="A31" s="2" t="n">
        <v>30</v>
      </c>
      <c r="B31" s="3" t="s">
        <v>63</v>
      </c>
      <c r="C31" s="4" t="s">
        <v>5</v>
      </c>
      <c r="D31" s="3" t="s">
        <v>64</v>
      </c>
    </row>
    <row r="32" customFormat="false" ht="15" hidden="false" customHeight="false" outlineLevel="0" collapsed="false">
      <c r="A32" s="2" t="n">
        <v>31</v>
      </c>
      <c r="B32" s="3" t="s">
        <v>65</v>
      </c>
      <c r="C32" s="4" t="s">
        <v>5</v>
      </c>
      <c r="D32" s="3" t="s">
        <v>66</v>
      </c>
    </row>
    <row r="33" customFormat="false" ht="23.85" hidden="false" customHeight="false" outlineLevel="0" collapsed="false">
      <c r="A33" s="2" t="n">
        <v>32</v>
      </c>
      <c r="B33" s="3" t="s">
        <v>67</v>
      </c>
      <c r="C33" s="5" t="s">
        <v>8</v>
      </c>
      <c r="D33" s="3" t="s">
        <v>68</v>
      </c>
    </row>
    <row r="34" customFormat="false" ht="15" hidden="false" customHeight="false" outlineLevel="0" collapsed="false">
      <c r="A34" s="2" t="n">
        <v>33</v>
      </c>
      <c r="B34" s="3" t="s">
        <v>69</v>
      </c>
      <c r="C34" s="5" t="s">
        <v>14</v>
      </c>
      <c r="D34" s="3" t="s">
        <v>70</v>
      </c>
    </row>
    <row r="35" customFormat="false" ht="15" hidden="false" customHeight="false" outlineLevel="0" collapsed="false">
      <c r="A35" s="2" t="n">
        <v>34</v>
      </c>
      <c r="B35" s="3" t="s">
        <v>71</v>
      </c>
      <c r="C35" s="5" t="s">
        <v>14</v>
      </c>
      <c r="D35" s="3" t="s">
        <v>72</v>
      </c>
    </row>
    <row r="36" customFormat="false" ht="23.85" hidden="false" customHeight="false" outlineLevel="0" collapsed="false">
      <c r="A36" s="2" t="n">
        <v>35</v>
      </c>
      <c r="B36" s="3" t="s">
        <v>73</v>
      </c>
      <c r="C36" s="6" t="s">
        <v>74</v>
      </c>
      <c r="D36" s="3" t="s">
        <v>75</v>
      </c>
    </row>
    <row r="37" customFormat="false" ht="15" hidden="false" customHeight="false" outlineLevel="0" collapsed="false">
      <c r="A37" s="2" t="n">
        <v>36</v>
      </c>
      <c r="B37" s="3" t="s">
        <v>76</v>
      </c>
      <c r="C37" s="5" t="s">
        <v>14</v>
      </c>
      <c r="D37" s="3" t="s">
        <v>77</v>
      </c>
    </row>
    <row r="38" customFormat="false" ht="15" hidden="false" customHeight="false" outlineLevel="0" collapsed="false">
      <c r="A38" s="2" t="n">
        <v>37</v>
      </c>
      <c r="B38" s="3" t="s">
        <v>78</v>
      </c>
      <c r="C38" s="4" t="s">
        <v>11</v>
      </c>
      <c r="D38" s="3" t="s">
        <v>79</v>
      </c>
    </row>
    <row r="39" customFormat="false" ht="15" hidden="false" customHeight="false" outlineLevel="0" collapsed="false">
      <c r="A39" s="2" t="n">
        <v>38</v>
      </c>
      <c r="B39" s="3" t="s">
        <v>80</v>
      </c>
      <c r="C39" s="4" t="s">
        <v>11</v>
      </c>
      <c r="D39" s="3" t="s">
        <v>81</v>
      </c>
    </row>
    <row r="40" customFormat="false" ht="15" hidden="false" customHeight="false" outlineLevel="0" collapsed="false">
      <c r="A40" s="2" t="n">
        <v>39</v>
      </c>
      <c r="B40" s="3" t="s">
        <v>82</v>
      </c>
      <c r="C40" s="4" t="s">
        <v>11</v>
      </c>
      <c r="D40" s="3" t="s">
        <v>83</v>
      </c>
    </row>
    <row r="41" customFormat="false" ht="15" hidden="false" customHeight="false" outlineLevel="0" collapsed="false">
      <c r="A41" s="2" t="n">
        <v>40</v>
      </c>
      <c r="B41" s="3" t="s">
        <v>84</v>
      </c>
      <c r="C41" s="5" t="s">
        <v>14</v>
      </c>
      <c r="D41" s="3" t="s">
        <v>85</v>
      </c>
    </row>
    <row r="42" customFormat="false" ht="15" hidden="false" customHeight="false" outlineLevel="0" collapsed="false">
      <c r="A42" s="2" t="n">
        <v>41</v>
      </c>
      <c r="B42" s="3" t="s">
        <v>86</v>
      </c>
      <c r="C42" s="4" t="s">
        <v>11</v>
      </c>
      <c r="D42" s="3" t="s">
        <v>87</v>
      </c>
    </row>
    <row r="43" customFormat="false" ht="15" hidden="false" customHeight="false" outlineLevel="0" collapsed="false">
      <c r="A43" s="2" t="n">
        <v>42</v>
      </c>
      <c r="B43" s="3" t="s">
        <v>88</v>
      </c>
      <c r="C43" s="5" t="s">
        <v>14</v>
      </c>
      <c r="D43" s="3" t="s">
        <v>89</v>
      </c>
    </row>
    <row r="44" customFormat="false" ht="15" hidden="false" customHeight="false" outlineLevel="0" collapsed="false">
      <c r="A44" s="2" t="n">
        <v>43</v>
      </c>
      <c r="B44" s="3" t="s">
        <v>90</v>
      </c>
      <c r="C44" s="5" t="s">
        <v>14</v>
      </c>
      <c r="D44" s="3" t="s">
        <v>91</v>
      </c>
    </row>
    <row r="45" customFormat="false" ht="15" hidden="false" customHeight="false" outlineLevel="0" collapsed="false">
      <c r="A45" s="2" t="n">
        <v>44</v>
      </c>
      <c r="B45" s="3" t="s">
        <v>92</v>
      </c>
      <c r="C45" s="4" t="s">
        <v>11</v>
      </c>
      <c r="D45" s="3" t="s">
        <v>93</v>
      </c>
    </row>
    <row r="46" customFormat="false" ht="15" hidden="false" customHeight="false" outlineLevel="0" collapsed="false">
      <c r="A46" s="2" t="n">
        <v>45</v>
      </c>
      <c r="B46" s="3" t="s">
        <v>94</v>
      </c>
      <c r="C46" s="5" t="s">
        <v>14</v>
      </c>
      <c r="D46" s="3" t="s">
        <v>17</v>
      </c>
    </row>
    <row r="47" customFormat="false" ht="15" hidden="false" customHeight="false" outlineLevel="0" collapsed="false">
      <c r="A47" s="2" t="n">
        <v>46</v>
      </c>
      <c r="B47" s="3" t="s">
        <v>92</v>
      </c>
      <c r="C47" s="5" t="s">
        <v>14</v>
      </c>
      <c r="D47" s="3" t="s">
        <v>95</v>
      </c>
    </row>
    <row r="48" customFormat="false" ht="15" hidden="false" customHeight="false" outlineLevel="0" collapsed="false">
      <c r="A48" s="2" t="n">
        <v>47</v>
      </c>
      <c r="B48" s="3" t="s">
        <v>39</v>
      </c>
      <c r="C48" s="4" t="s">
        <v>11</v>
      </c>
      <c r="D48" s="3" t="s">
        <v>40</v>
      </c>
    </row>
    <row r="49" customFormat="false" ht="15" hidden="false" customHeight="false" outlineLevel="0" collapsed="false">
      <c r="A49" s="2" t="n">
        <v>48</v>
      </c>
      <c r="B49" s="3" t="s">
        <v>96</v>
      </c>
      <c r="C49" s="5" t="s">
        <v>14</v>
      </c>
      <c r="D49" s="3" t="s">
        <v>97</v>
      </c>
    </row>
    <row r="50" customFormat="false" ht="15" hidden="false" customHeight="false" outlineLevel="0" collapsed="false">
      <c r="A50" s="2" t="n">
        <v>49</v>
      </c>
      <c r="B50" s="3" t="s">
        <v>98</v>
      </c>
      <c r="C50" s="5" t="s">
        <v>14</v>
      </c>
      <c r="D50" s="3" t="s">
        <v>99</v>
      </c>
    </row>
    <row r="51" customFormat="false" ht="15" hidden="false" customHeight="false" outlineLevel="0" collapsed="false">
      <c r="A51" s="2" t="n">
        <v>50</v>
      </c>
      <c r="B51" s="3" t="s">
        <v>100</v>
      </c>
      <c r="C51" s="4" t="s">
        <v>5</v>
      </c>
      <c r="D51" s="3" t="s">
        <v>101</v>
      </c>
    </row>
    <row r="52" customFormat="false" ht="15" hidden="false" customHeight="false" outlineLevel="0" collapsed="false">
      <c r="A52" s="2" t="n">
        <v>51</v>
      </c>
      <c r="B52" s="3" t="s">
        <v>102</v>
      </c>
      <c r="C52" s="5" t="s">
        <v>14</v>
      </c>
      <c r="D52" s="3" t="s">
        <v>103</v>
      </c>
    </row>
  </sheetData>
  <autoFilter ref="A1:D5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  <col collapsed="false" customWidth="true" hidden="false" outlineLevel="0" max="3" min="2" style="0" width="12"/>
  </cols>
  <sheetData>
    <row r="1" customFormat="false" ht="16.15" hidden="false" customHeight="false" outlineLevel="0" collapsed="false">
      <c r="A1" s="7" t="s">
        <v>104</v>
      </c>
    </row>
    <row r="2" customFormat="false" ht="15" hidden="false" customHeight="false" outlineLevel="0" collapsed="false">
      <c r="A2" s="8" t="s">
        <v>105</v>
      </c>
    </row>
    <row r="4" customFormat="false" ht="15" hidden="false" customHeight="false" outlineLevel="0" collapsed="false">
      <c r="A4" s="9" t="s">
        <v>2</v>
      </c>
      <c r="B4" s="9" t="s">
        <v>106</v>
      </c>
      <c r="C4" s="9" t="s">
        <v>107</v>
      </c>
    </row>
    <row r="5" customFormat="false" ht="15" hidden="false" customHeight="false" outlineLevel="0" collapsed="false">
      <c r="A5" s="10" t="s">
        <v>14</v>
      </c>
      <c r="B5" s="10" t="n">
        <f aca="false">COUNTIF(Labels!$C$2:$C$52,"SUPPORTS*")</f>
        <v>27</v>
      </c>
      <c r="C5" s="11" t="n">
        <f aca="false">IFERROR(B5/$B$9,0)</f>
        <v>0.529411764705882</v>
      </c>
    </row>
    <row r="6" customFormat="false" ht="15" hidden="false" customHeight="false" outlineLevel="0" collapsed="false">
      <c r="A6" s="10" t="s">
        <v>74</v>
      </c>
      <c r="B6" s="10" t="n">
        <f aca="false">COUNTIF(Labels!$C$2:$C$52,"REFUTES*")</f>
        <v>1</v>
      </c>
      <c r="C6" s="11" t="n">
        <f aca="false">IFERROR(B6/$B$9,0)</f>
        <v>0.0196078431372549</v>
      </c>
    </row>
    <row r="7" customFormat="false" ht="15" hidden="false" customHeight="false" outlineLevel="0" collapsed="false">
      <c r="A7" s="10" t="s">
        <v>11</v>
      </c>
      <c r="B7" s="10" t="n">
        <f aca="false">COUNTIF(Labels!$C$2:$C$52,"NEI*")</f>
        <v>23</v>
      </c>
      <c r="C7" s="11" t="n">
        <f aca="false">IFERROR(B7/$B$9,0)</f>
        <v>0.450980392156863</v>
      </c>
    </row>
    <row r="8" customFormat="false" ht="15" hidden="false" customHeight="false" outlineLevel="0" collapsed="false">
      <c r="A8" s="10" t="s">
        <v>108</v>
      </c>
      <c r="B8" s="10" t="n">
        <f aca="false">COUNTIF(Labels!$C$2:$C$52,"*MALFORMED*")+COUNTIFS(Labels!$C$2:$C$52,"*NEI*",Labels!$C$2:$C$52,"*REFUTES*")</f>
        <v>0</v>
      </c>
      <c r="C8" s="11" t="n">
        <f aca="false">IFERROR(B8/$B$9,0)</f>
        <v>0</v>
      </c>
    </row>
    <row r="9" customFormat="false" ht="15" hidden="false" customHeight="false" outlineLevel="0" collapsed="false">
      <c r="A9" s="12" t="s">
        <v>109</v>
      </c>
      <c r="B9" s="12" t="n">
        <f aca="false">COUNTA(Labels!$A$2:$A$52)</f>
        <v>51</v>
      </c>
      <c r="C9" s="13" t="n">
        <f aca="false">IFERROR(SUM(C5:C8),0)</f>
        <v>1</v>
      </c>
    </row>
    <row r="11" customFormat="false" ht="15" hidden="false" customHeight="false" outlineLevel="0" collapsed="false">
      <c r="A11" s="14" t="s">
        <v>110</v>
      </c>
    </row>
    <row r="12" customFormat="false" ht="30" hidden="false" customHeight="true" outlineLevel="0" collapsed="false">
      <c r="A12" s="15" t="s">
        <v>111</v>
      </c>
    </row>
    <row r="13" customFormat="false" ht="30" hidden="false" customHeight="true" outlineLevel="0" collapsed="false">
      <c r="A13" s="15" t="s">
        <v>112</v>
      </c>
    </row>
    <row r="14" customFormat="false" ht="30" hidden="false" customHeight="true" outlineLevel="0" collapsed="false">
      <c r="A14" s="15" t="s">
        <v>113</v>
      </c>
    </row>
    <row r="15" customFormat="false" ht="30" hidden="false" customHeight="true" outlineLevel="0" collapsed="false">
      <c r="A15" s="15" t="s">
        <v>114</v>
      </c>
    </row>
    <row r="16" customFormat="false" ht="30" hidden="false" customHeight="true" outlineLevel="0" collapsed="false">
      <c r="A16" s="15" t="s">
        <v>115</v>
      </c>
    </row>
    <row r="17" customFormat="false" ht="30" hidden="false" customHeight="true" outlineLevel="0" collapsed="false">
      <c r="A17" s="15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2026-07-11T08:58:54Z</dcterms:created>
  <dc:creator>openpyxl</dc:creator>
  <dc:description/>
  <dc:language>en-US</dc:language>
  <cp:lastModifiedBy/>
  <dcterms:modified xsi:type="dcterms:W3CDTF">2026-07-11T08:58:54Z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