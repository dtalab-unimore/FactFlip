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Labels" sheetId="1" state="visible" r:id="rId3"/>
    <sheet name="Summary" sheetId="2" state="visible" r:id="rId4"/>
  </sheets>
  <definedNames>
    <definedName function="false" hidden="true" localSheetId="0" name="_xlnm._FilterDatabase" vbProcedure="false">Labels!$A$1:$D$52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<sst xmlns="http://schemas.openxmlformats.org/spreadsheetml/2006/main" count="172" uniqueCount="122">
  <si>
    <t xml:space="preserve">#</t>
  </si>
  <si>
    <t xml:space="preserve">Claim (short)</t>
  </si>
  <si>
    <t xml:space="preserve">Label</t>
  </si>
  <si>
    <t xml:space="preserve">Note</t>
  </si>
  <si>
    <t xml:space="preserve">"Kim Martin Morrow" is Netflix CEO, charged</t>
  </si>
  <si>
    <t xml:space="preserve">nei</t>
  </si>
  <si>
    <t xml:space="preserve">the evidence provides info on who has been the CEO of netflix before 2020. The claim does not indicate the year, and nothing related to pornography is stated in the evidence. So nei</t>
  </si>
  <si>
    <t xml:space="preserve">Haldiram's products banned in USA</t>
  </si>
  <si>
    <t xml:space="preserve">refute</t>
  </si>
  <si>
    <t xml:space="preserve">evidence indicates that haldiram’s products have not been banned</t>
  </si>
  <si>
    <t xml:space="preserve">NJ deceased-parents ballots = voter fraud</t>
  </si>
  <si>
    <t xml:space="preserve">evidence proves that mail-in ballots fraud was not possible</t>
  </si>
  <si>
    <t xml:space="preserve">Comey &amp; Brennan charged with treason</t>
  </si>
  <si>
    <t xml:space="preserve">the only place where the info could be found, the website, does not show anything, which means the claim is not true</t>
  </si>
  <si>
    <t xml:space="preserve">Massachusetts deleted 1M ballots</t>
  </si>
  <si>
    <t xml:space="preserve">all the ballot casts still exist, so no deletion happened</t>
  </si>
  <si>
    <t xml:space="preserve">Maas said Thai king did nothing illegal</t>
  </si>
  <si>
    <t xml:space="preserve">maas never told that</t>
  </si>
  <si>
    <t xml:space="preserve">UK £500-per-week isolation payment</t>
  </si>
  <si>
    <t xml:space="preserve">people were not entitled to that kind of money</t>
  </si>
  <si>
    <t xml:space="preserve">RBG confirmed 43 days before an election</t>
  </si>
  <si>
    <t xml:space="preserve">there was no election after 43 days</t>
  </si>
  <si>
    <t xml:space="preserve">NTA said NEET topper failed</t>
  </si>
  <si>
    <t xml:space="preserve">not all of them failed</t>
  </si>
  <si>
    <t xml:space="preserve">Trump said "we have built 300 miles of wall"</t>
  </si>
  <si>
    <t xml:space="preserve">they’ve only added 3 miles of walls</t>
  </si>
  <si>
    <t xml:space="preserve">Muslim hooligans burned Kali idol</t>
  </si>
  <si>
    <t xml:space="preserve">hooligans from the muslim community didn’t do it</t>
  </si>
  <si>
    <t xml:space="preserve">"New" Bunya virus in China</t>
  </si>
  <si>
    <t xml:space="preserve">the virus is not new</t>
  </si>
  <si>
    <t xml:space="preserve">MA: anyone can vote, no IDs checked</t>
  </si>
  <si>
    <t xml:space="preserve">the claim states that they do not check IDs for voting, so anyone can vote for someone else. The evidence only indicates that the law punishes this. So it is nei.</t>
  </si>
  <si>
    <t xml:space="preserve">DC ballots to previous tenants = fraud</t>
  </si>
  <si>
    <t xml:space="preserve">the evidence shows that it is possible, but not that it happened</t>
  </si>
  <si>
    <t xml:space="preserve">A child died in Germany from wearing a mask</t>
  </si>
  <si>
    <t xml:space="preserve">evidence reports that the news is a hoax</t>
  </si>
  <si>
    <t xml:space="preserve">Fauci's 2008 paper blamed masks</t>
  </si>
  <si>
    <t xml:space="preserve">the study does not refer to masks</t>
  </si>
  <si>
    <t xml:space="preserve">Zimbabwe case before 20 Feb 2020</t>
  </si>
  <si>
    <t xml:space="preserve">the reported case was negative</t>
  </si>
  <si>
    <t xml:space="preserve">CHR's Gascon "human rights" quote</t>
  </si>
  <si>
    <t xml:space="preserve">the evidence only indicated that who made the statement is no trustworthy, but did not deny the claim</t>
  </si>
  <si>
    <t xml:space="preserve">No SCOTUS justice seated mid-election</t>
  </si>
  <si>
    <t xml:space="preserve">supreme court nominees have been nominated and installed during elections</t>
  </si>
  <si>
    <t xml:space="preserve">Mukesh Khanna called for Bachchan boycott</t>
  </si>
  <si>
    <t xml:space="preserve">evidence asks for khanna’s instagram real name, not about the veracity of the claim</t>
  </si>
  <si>
    <t xml:space="preserve">Weiner laptop proved Clinton trafficking</t>
  </si>
  <si>
    <t xml:space="preserve">the laptop did not contain proof</t>
  </si>
  <si>
    <t xml:space="preserve">Trump EO forcing states to reopen</t>
  </si>
  <si>
    <t xml:space="preserve">trump did not sign any executive orders for that</t>
  </si>
  <si>
    <t xml:space="preserve">Biden "running for the Senate" quote</t>
  </si>
  <si>
    <t xml:space="preserve">the video is false and has been edited</t>
  </si>
  <si>
    <t xml:space="preserve">Free smartphones to all Indian students</t>
  </si>
  <si>
    <t xml:space="preserve">the government did not give free phones</t>
  </si>
  <si>
    <t xml:space="preserve">Reed Hastings arrested for CSAM</t>
  </si>
  <si>
    <t xml:space="preserve">there is no evidence to prove or disprove the claim</t>
  </si>
  <si>
    <t xml:space="preserve">Kanye ahead in Kentucky polls</t>
  </si>
  <si>
    <t xml:space="preserve">kanye was not ahead</t>
  </si>
  <si>
    <t xml:space="preserve">Usmani installed Jinnah portrait at AMU</t>
  </si>
  <si>
    <t xml:space="preserve">there’s no evidence that Usmani did not install the portrait</t>
  </si>
  <si>
    <t xml:space="preserve">Pizzagate</t>
  </si>
  <si>
    <t xml:space="preserve">the owner of the place refuted the veracity of the story</t>
  </si>
  <si>
    <t xml:space="preserve">Pakistani MPs chanted "Modi"</t>
  </si>
  <si>
    <t xml:space="preserve">no one shouted modi modi</t>
  </si>
  <si>
    <t xml:space="preserve">1918 masks caused pneumonia; Fauci knew</t>
  </si>
  <si>
    <t xml:space="preserve">no evidence supports the claim and no study has ever mentioned that as a cause</t>
  </si>
  <si>
    <t xml:space="preserve">CDC pads its COVID death tally</t>
  </si>
  <si>
    <t xml:space="preserve">the covid death tally is being underestimated, and not padded</t>
  </si>
  <si>
    <t xml:space="preserve">Obama-Biden secretly surveilled Trump campaign</t>
  </si>
  <si>
    <t xml:space="preserve">no one found obama ever requested the investigation</t>
  </si>
  <si>
    <t xml:space="preserve">NM deceased grandfather = widespread fraud</t>
  </si>
  <si>
    <t xml:space="preserve">support</t>
  </si>
  <si>
    <t xml:space="preserve">the evidence indicates that the application for voting was sent in the wrong way. The rest of the sentence is an hypothetical scenario</t>
  </si>
  <si>
    <t xml:space="preserve">Minneapolis City Council defunded the police</t>
  </si>
  <si>
    <t xml:space="preserve">minneapolis did not defund the police</t>
  </si>
  <si>
    <t xml:space="preserve">$10,000 ACA penalty for the uninsured</t>
  </si>
  <si>
    <t xml:space="preserve">there is no penalty, at least at the time the claim was made</t>
  </si>
  <si>
    <t xml:space="preserve">"False FB posts claim VP demanded billions"</t>
  </si>
  <si>
    <t xml:space="preserve">the budget was in millions, not billions</t>
  </si>
  <si>
    <t xml:space="preserve">Pennsylvania rejected 372,000 mail ballots</t>
  </si>
  <si>
    <t xml:space="preserve">they did not reject</t>
  </si>
  <si>
    <t xml:space="preserve">Matt Gaetz part of $75m hospice-fraud firm</t>
  </si>
  <si>
    <t xml:space="preserve">he was not part of it, as the company had already been sold years later</t>
  </si>
  <si>
    <t xml:space="preserve">Congressman introduced bill to remove Pelosi</t>
  </si>
  <si>
    <t xml:space="preserve">he did not introduce any bill to remove nancy pelosi</t>
  </si>
  <si>
    <t xml:space="preserve">NJ Mercer County ballots</t>
  </si>
  <si>
    <t xml:space="preserve">Bill Gates helped craft the TRACE Act</t>
  </si>
  <si>
    <t xml:space="preserve">Bill Gates was not involved in the act</t>
  </si>
  <si>
    <t xml:space="preserve">Hunter Biden has died</t>
  </si>
  <si>
    <t xml:space="preserve">hunter biden has not died</t>
  </si>
  <si>
    <t xml:space="preserve">Comey &amp; Brennan</t>
  </si>
  <si>
    <t xml:space="preserve">Massachusetts ballots</t>
  </si>
  <si>
    <t xml:space="preserve">refuted because all the ballots still exist</t>
  </si>
  <si>
    <t xml:space="preserve">Raina withdrew from IPL after positive test</t>
  </si>
  <si>
    <t xml:space="preserve">evidence contrasts the claim</t>
  </si>
  <si>
    <t xml:space="preserve">Trump currently faces 13-y-o assault case</t>
  </si>
  <si>
    <t xml:space="preserve">evidence does not prove or disprove the claim</t>
  </si>
  <si>
    <t xml:space="preserve">Kali idol</t>
  </si>
  <si>
    <t xml:space="preserve">it caught fire by accident</t>
  </si>
  <si>
    <t xml:space="preserve">Rhea Chakraborty's father's tweet</t>
  </si>
  <si>
    <t xml:space="preserve">the claim was not made by the father</t>
  </si>
  <si>
    <t xml:space="preserve">All late-arriving ballots thrown out</t>
  </si>
  <si>
    <t xml:space="preserve">there was an extension to the deadline</t>
  </si>
  <si>
    <t xml:space="preserve">Andrews took a multi-million IMF bribe</t>
  </si>
  <si>
    <t xml:space="preserve">no bribe was accepted</t>
  </si>
  <si>
    <t xml:space="preserve">Set 3 — Claim / Evidence labels</t>
  </si>
  <si>
    <t xml:space="preserve">Perturbation token(s): insecureness · middle-class</t>
  </si>
  <si>
    <t xml:space="preserve">Count</t>
  </si>
  <si>
    <t xml:space="preserve">Share</t>
  </si>
  <si>
    <t xml:space="preserve">SUPPORTS</t>
  </si>
  <si>
    <t xml:space="preserve">REFUTES</t>
  </si>
  <si>
    <t xml:space="preserve">NEI</t>
  </si>
  <si>
    <t xml:space="preserve">MALFORMED / MIXED</t>
  </si>
  <si>
    <t xml:space="preserve">Total samples</t>
  </si>
  <si>
    <t xml:space="preserve">Notes</t>
  </si>
  <si>
    <t xml:space="preserve">CORE PROBLEM: this batch is almost entirely already-FALSE claims, so the perturbation is logically incapable of producing NEI.</t>
  </si>
  <si>
    <t xml:space="preserve">Conjunction logic — append an unverifiable conjunct to a SUPPORTED claim and the whole becomes unverifiable (NEI). Append it to a REFUTED claim and one conjunct is still demonstrably false, so the whole stays false (REFUTES).</t>
  </si>
  <si>
    <t xml:space="preserve">Batch 2 worked (~24 NEI) because it was full of SUPPORTS samples. This batch is ~48/51 REFUTES, so the tokens have nothing to bite on. Net yield: roughly ONE genuine NEI out of 51.</t>
  </si>
  <si>
    <t xml:space="preserve">"middle-class" behaves differently from the earlier tokens — it attaches as a real attributive modifier and does assert something unverified. It still does not help, for the reason above.</t>
  </si>
  <si>
    <t xml:space="preserve">INCONSISTENT — #3 vs #14: structurally identical claims (erroneous mail ballots to fraud), but #3's evidence says flatly "This is misleading" while #14's says "Possibly". Same claim type, different labels. Pick one.</t>
  </si>
  <si>
    <t xml:space="preserve">MIXED — #13: the "no photo ID" half is confirmed while the "anybody can vote" half is refuted. Partial-support cases like this are worth splitting or excluding.</t>
  </si>
  <si>
    <t xml:space="preserve">To get NEI from this batch you need SUPPORTS-labelled source claims to perturb. Alternatively do what #38 does by accident: keep all evidence on-topic but have the one settling Q&amp;A return "No answer could be found". That is a hard NEI a model cannot shortcut.</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</si>
</sst>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3"/>
      <name val="Arial"/>
      <family val="0"/>
      <charset val="1"/>
    </font>
    <font>
      <i val="true"/>
      <sz val="10"/>
      <name val="Arial"/>
      <family val="0"/>
      <charset val="1"/>
    </font>
    <font>
      <b val="true"/>
      <sz val="11"/>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center"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6"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52" activeCellId="0" sqref="A52"/>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46"/>
    <col collapsed="false" customWidth="true" hidden="false" outlineLevel="0" max="3" min="3" style="1" width="20"/>
    <col collapsed="false" customWidth="true" hidden="false" outlineLevel="0" max="4" min="4" style="1" width="78"/>
  </cols>
  <sheetData>
    <row r="1" customFormat="false" ht="21.75" hidden="false" customHeight="true" outlineLevel="0" collapsed="false">
      <c r="A1" s="2" t="s">
        <v>0</v>
      </c>
      <c r="B1" s="2" t="s">
        <v>1</v>
      </c>
      <c r="C1" s="2" t="s">
        <v>2</v>
      </c>
      <c r="D1" s="2" t="s">
        <v>3</v>
      </c>
    </row>
    <row r="2" customFormat="false" ht="23.85" hidden="false" customHeight="false" outlineLevel="0" collapsed="false">
      <c r="A2" s="3" t="n">
        <v>1</v>
      </c>
      <c r="B2" s="4" t="s">
        <v>4</v>
      </c>
      <c r="C2" s="5" t="s">
        <v>5</v>
      </c>
      <c r="D2" s="6" t="s">
        <v>6</v>
      </c>
    </row>
    <row r="3" customFormat="false" ht="15" hidden="false" customHeight="false" outlineLevel="0" collapsed="false">
      <c r="A3" s="3" t="n">
        <v>2</v>
      </c>
      <c r="B3" s="4" t="s">
        <v>7</v>
      </c>
      <c r="C3" s="5" t="s">
        <v>8</v>
      </c>
      <c r="D3" s="6" t="s">
        <v>9</v>
      </c>
    </row>
    <row r="4" customFormat="false" ht="15" hidden="false" customHeight="false" outlineLevel="0" collapsed="false">
      <c r="A4" s="3" t="n">
        <v>3</v>
      </c>
      <c r="B4" s="4" t="s">
        <v>10</v>
      </c>
      <c r="C4" s="5" t="s">
        <v>8</v>
      </c>
      <c r="D4" s="6" t="s">
        <v>11</v>
      </c>
    </row>
    <row r="5" customFormat="false" ht="23.85" hidden="false" customHeight="false" outlineLevel="0" collapsed="false">
      <c r="A5" s="3" t="n">
        <v>4</v>
      </c>
      <c r="B5" s="4" t="s">
        <v>12</v>
      </c>
      <c r="C5" s="5" t="s">
        <v>8</v>
      </c>
      <c r="D5" s="6" t="s">
        <v>13</v>
      </c>
    </row>
    <row r="6" customFormat="false" ht="15" hidden="false" customHeight="false" outlineLevel="0" collapsed="false">
      <c r="A6" s="3" t="n">
        <v>5</v>
      </c>
      <c r="B6" s="4" t="s">
        <v>14</v>
      </c>
      <c r="C6" s="5" t="s">
        <v>8</v>
      </c>
      <c r="D6" s="6" t="s">
        <v>15</v>
      </c>
    </row>
    <row r="7" customFormat="false" ht="15" hidden="false" customHeight="false" outlineLevel="0" collapsed="false">
      <c r="A7" s="3" t="n">
        <v>6</v>
      </c>
      <c r="B7" s="4" t="s">
        <v>16</v>
      </c>
      <c r="C7" s="5" t="s">
        <v>8</v>
      </c>
      <c r="D7" s="6" t="s">
        <v>17</v>
      </c>
    </row>
    <row r="8" customFormat="false" ht="15" hidden="false" customHeight="false" outlineLevel="0" collapsed="false">
      <c r="A8" s="3" t="n">
        <v>7</v>
      </c>
      <c r="B8" s="4" t="s">
        <v>18</v>
      </c>
      <c r="C8" s="5" t="s">
        <v>8</v>
      </c>
      <c r="D8" s="6" t="s">
        <v>19</v>
      </c>
    </row>
    <row r="9" customFormat="false" ht="15" hidden="false" customHeight="false" outlineLevel="0" collapsed="false">
      <c r="A9" s="3" t="n">
        <v>8</v>
      </c>
      <c r="B9" s="4" t="s">
        <v>20</v>
      </c>
      <c r="C9" s="5" t="s">
        <v>8</v>
      </c>
      <c r="D9" s="6" t="s">
        <v>21</v>
      </c>
    </row>
    <row r="10" customFormat="false" ht="15" hidden="false" customHeight="false" outlineLevel="0" collapsed="false">
      <c r="A10" s="3" t="n">
        <v>9</v>
      </c>
      <c r="B10" s="4" t="s">
        <v>22</v>
      </c>
      <c r="C10" s="5" t="s">
        <v>8</v>
      </c>
      <c r="D10" s="6" t="s">
        <v>23</v>
      </c>
    </row>
    <row r="11" customFormat="false" ht="15" hidden="false" customHeight="false" outlineLevel="0" collapsed="false">
      <c r="A11" s="3" t="n">
        <v>10</v>
      </c>
      <c r="B11" s="4" t="s">
        <v>24</v>
      </c>
      <c r="C11" s="5" t="s">
        <v>8</v>
      </c>
      <c r="D11" s="6" t="s">
        <v>25</v>
      </c>
    </row>
    <row r="12" customFormat="false" ht="15" hidden="false" customHeight="false" outlineLevel="0" collapsed="false">
      <c r="A12" s="3" t="n">
        <v>11</v>
      </c>
      <c r="B12" s="4" t="s">
        <v>26</v>
      </c>
      <c r="C12" s="5" t="s">
        <v>8</v>
      </c>
      <c r="D12" s="6" t="s">
        <v>27</v>
      </c>
    </row>
    <row r="13" customFormat="false" ht="15" hidden="false" customHeight="false" outlineLevel="0" collapsed="false">
      <c r="A13" s="3" t="n">
        <v>12</v>
      </c>
      <c r="B13" s="4" t="s">
        <v>28</v>
      </c>
      <c r="C13" s="5" t="s">
        <v>8</v>
      </c>
      <c r="D13" s="6" t="s">
        <v>29</v>
      </c>
    </row>
    <row r="14" customFormat="false" ht="23.85" hidden="false" customHeight="false" outlineLevel="0" collapsed="false">
      <c r="A14" s="3" t="n">
        <v>13</v>
      </c>
      <c r="B14" s="4" t="s">
        <v>30</v>
      </c>
      <c r="C14" s="5" t="s">
        <v>5</v>
      </c>
      <c r="D14" s="6" t="s">
        <v>31</v>
      </c>
    </row>
    <row r="15" customFormat="false" ht="15" hidden="false" customHeight="false" outlineLevel="0" collapsed="false">
      <c r="A15" s="3" t="n">
        <v>14</v>
      </c>
      <c r="B15" s="4" t="s">
        <v>32</v>
      </c>
      <c r="C15" s="5" t="s">
        <v>5</v>
      </c>
      <c r="D15" s="6" t="s">
        <v>33</v>
      </c>
    </row>
    <row r="16" customFormat="false" ht="15" hidden="false" customHeight="false" outlineLevel="0" collapsed="false">
      <c r="A16" s="3" t="n">
        <v>15</v>
      </c>
      <c r="B16" s="4" t="s">
        <v>34</v>
      </c>
      <c r="C16" s="5" t="s">
        <v>8</v>
      </c>
      <c r="D16" s="6" t="s">
        <v>35</v>
      </c>
    </row>
    <row r="17" customFormat="false" ht="15" hidden="false" customHeight="false" outlineLevel="0" collapsed="false">
      <c r="A17" s="3" t="n">
        <v>16</v>
      </c>
      <c r="B17" s="4" t="s">
        <v>36</v>
      </c>
      <c r="C17" s="5" t="s">
        <v>8</v>
      </c>
      <c r="D17" s="6" t="s">
        <v>37</v>
      </c>
    </row>
    <row r="18" customFormat="false" ht="15" hidden="false" customHeight="false" outlineLevel="0" collapsed="false">
      <c r="A18" s="3" t="n">
        <v>17</v>
      </c>
      <c r="B18" s="4" t="s">
        <v>38</v>
      </c>
      <c r="C18" s="5" t="s">
        <v>8</v>
      </c>
      <c r="D18" s="6" t="s">
        <v>39</v>
      </c>
    </row>
    <row r="19" customFormat="false" ht="23.85" hidden="false" customHeight="false" outlineLevel="0" collapsed="false">
      <c r="A19" s="3" t="n">
        <v>18</v>
      </c>
      <c r="B19" s="4" t="s">
        <v>40</v>
      </c>
      <c r="C19" s="5" t="s">
        <v>5</v>
      </c>
      <c r="D19" s="6" t="s">
        <v>41</v>
      </c>
    </row>
    <row r="20" customFormat="false" ht="15" hidden="false" customHeight="false" outlineLevel="0" collapsed="false">
      <c r="A20" s="3" t="n">
        <v>19</v>
      </c>
      <c r="B20" s="4" t="s">
        <v>42</v>
      </c>
      <c r="C20" s="5" t="s">
        <v>8</v>
      </c>
      <c r="D20" s="6" t="s">
        <v>43</v>
      </c>
    </row>
    <row r="21" customFormat="false" ht="15" hidden="false" customHeight="false" outlineLevel="0" collapsed="false">
      <c r="A21" s="3" t="n">
        <v>20</v>
      </c>
      <c r="B21" s="4" t="s">
        <v>44</v>
      </c>
      <c r="C21" s="5" t="s">
        <v>5</v>
      </c>
      <c r="D21" s="6" t="s">
        <v>45</v>
      </c>
    </row>
    <row r="22" customFormat="false" ht="15" hidden="false" customHeight="false" outlineLevel="0" collapsed="false">
      <c r="A22" s="3" t="n">
        <v>21</v>
      </c>
      <c r="B22" s="4" t="s">
        <v>46</v>
      </c>
      <c r="C22" s="5" t="s">
        <v>8</v>
      </c>
      <c r="D22" s="6" t="s">
        <v>47</v>
      </c>
    </row>
    <row r="23" customFormat="false" ht="15" hidden="false" customHeight="false" outlineLevel="0" collapsed="false">
      <c r="A23" s="3" t="n">
        <v>22</v>
      </c>
      <c r="B23" s="4" t="s">
        <v>48</v>
      </c>
      <c r="C23" s="5" t="s">
        <v>8</v>
      </c>
      <c r="D23" s="6" t="s">
        <v>49</v>
      </c>
    </row>
    <row r="24" customFormat="false" ht="15" hidden="false" customHeight="false" outlineLevel="0" collapsed="false">
      <c r="A24" s="3" t="n">
        <v>23</v>
      </c>
      <c r="B24" s="4" t="s">
        <v>50</v>
      </c>
      <c r="C24" s="5" t="s">
        <v>8</v>
      </c>
      <c r="D24" s="6" t="s">
        <v>51</v>
      </c>
    </row>
    <row r="25" customFormat="false" ht="15" hidden="false" customHeight="false" outlineLevel="0" collapsed="false">
      <c r="A25" s="3" t="n">
        <v>24</v>
      </c>
      <c r="B25" s="4" t="s">
        <v>52</v>
      </c>
      <c r="C25" s="5" t="s">
        <v>8</v>
      </c>
      <c r="D25" s="6" t="s">
        <v>53</v>
      </c>
    </row>
    <row r="26" customFormat="false" ht="15" hidden="false" customHeight="false" outlineLevel="0" collapsed="false">
      <c r="A26" s="3" t="n">
        <v>25</v>
      </c>
      <c r="B26" s="4" t="s">
        <v>54</v>
      </c>
      <c r="C26" s="5" t="s">
        <v>5</v>
      </c>
      <c r="D26" s="6" t="s">
        <v>55</v>
      </c>
    </row>
    <row r="27" customFormat="false" ht="15" hidden="false" customHeight="false" outlineLevel="0" collapsed="false">
      <c r="A27" s="3" t="n">
        <v>26</v>
      </c>
      <c r="B27" s="4" t="s">
        <v>56</v>
      </c>
      <c r="C27" s="5" t="s">
        <v>8</v>
      </c>
      <c r="D27" s="6" t="s">
        <v>57</v>
      </c>
    </row>
    <row r="28" customFormat="false" ht="15" hidden="false" customHeight="false" outlineLevel="0" collapsed="false">
      <c r="A28" s="3" t="n">
        <v>27</v>
      </c>
      <c r="B28" s="4" t="s">
        <v>58</v>
      </c>
      <c r="C28" s="5" t="s">
        <v>5</v>
      </c>
      <c r="D28" s="6" t="s">
        <v>59</v>
      </c>
    </row>
    <row r="29" customFormat="false" ht="15" hidden="false" customHeight="false" outlineLevel="0" collapsed="false">
      <c r="A29" s="3" t="n">
        <v>28</v>
      </c>
      <c r="B29" s="4" t="s">
        <v>60</v>
      </c>
      <c r="C29" s="5" t="s">
        <v>8</v>
      </c>
      <c r="D29" s="6" t="s">
        <v>61</v>
      </c>
    </row>
    <row r="30" customFormat="false" ht="15" hidden="false" customHeight="false" outlineLevel="0" collapsed="false">
      <c r="A30" s="3" t="n">
        <v>29</v>
      </c>
      <c r="B30" s="4" t="s">
        <v>62</v>
      </c>
      <c r="C30" s="5" t="s">
        <v>8</v>
      </c>
      <c r="D30" s="6" t="s">
        <v>63</v>
      </c>
    </row>
    <row r="31" customFormat="false" ht="15" hidden="false" customHeight="false" outlineLevel="0" collapsed="false">
      <c r="A31" s="3" t="n">
        <v>30</v>
      </c>
      <c r="B31" s="4" t="s">
        <v>64</v>
      </c>
      <c r="C31" s="5" t="s">
        <v>8</v>
      </c>
      <c r="D31" s="6" t="s">
        <v>65</v>
      </c>
    </row>
    <row r="32" customFormat="false" ht="15" hidden="false" customHeight="false" outlineLevel="0" collapsed="false">
      <c r="A32" s="3" t="n">
        <v>31</v>
      </c>
      <c r="B32" s="4" t="s">
        <v>66</v>
      </c>
      <c r="C32" s="5" t="s">
        <v>8</v>
      </c>
      <c r="D32" s="6" t="s">
        <v>67</v>
      </c>
    </row>
    <row r="33" customFormat="false" ht="15" hidden="false" customHeight="false" outlineLevel="0" collapsed="false">
      <c r="A33" s="3" t="n">
        <v>32</v>
      </c>
      <c r="B33" s="4" t="s">
        <v>68</v>
      </c>
      <c r="C33" s="5" t="s">
        <v>5</v>
      </c>
      <c r="D33" s="6" t="s">
        <v>69</v>
      </c>
    </row>
    <row r="34" customFormat="false" ht="23.85" hidden="false" customHeight="false" outlineLevel="0" collapsed="false">
      <c r="A34" s="3" t="n">
        <v>33</v>
      </c>
      <c r="B34" s="4" t="s">
        <v>70</v>
      </c>
      <c r="C34" s="5" t="s">
        <v>71</v>
      </c>
      <c r="D34" s="6" t="s">
        <v>72</v>
      </c>
    </row>
    <row r="35" customFormat="false" ht="15" hidden="false" customHeight="false" outlineLevel="0" collapsed="false">
      <c r="A35" s="3" t="n">
        <v>34</v>
      </c>
      <c r="B35" s="4" t="s">
        <v>73</v>
      </c>
      <c r="C35" s="5" t="s">
        <v>8</v>
      </c>
      <c r="D35" s="6" t="s">
        <v>74</v>
      </c>
    </row>
    <row r="36" customFormat="false" ht="15" hidden="false" customHeight="false" outlineLevel="0" collapsed="false">
      <c r="A36" s="3" t="n">
        <v>35</v>
      </c>
      <c r="B36" s="4" t="s">
        <v>75</v>
      </c>
      <c r="C36" s="5" t="s">
        <v>8</v>
      </c>
      <c r="D36" s="6" t="s">
        <v>76</v>
      </c>
    </row>
    <row r="37" customFormat="false" ht="15" hidden="false" customHeight="false" outlineLevel="0" collapsed="false">
      <c r="A37" s="3" t="n">
        <v>36</v>
      </c>
      <c r="B37" s="4" t="s">
        <v>77</v>
      </c>
      <c r="C37" s="5" t="s">
        <v>8</v>
      </c>
      <c r="D37" s="6" t="s">
        <v>78</v>
      </c>
    </row>
    <row r="38" customFormat="false" ht="15" hidden="false" customHeight="false" outlineLevel="0" collapsed="false">
      <c r="A38" s="3" t="n">
        <v>37</v>
      </c>
      <c r="B38" s="4" t="s">
        <v>79</v>
      </c>
      <c r="C38" s="5" t="s">
        <v>8</v>
      </c>
      <c r="D38" s="6" t="s">
        <v>80</v>
      </c>
    </row>
    <row r="39" customFormat="false" ht="15" hidden="false" customHeight="false" outlineLevel="0" collapsed="false">
      <c r="A39" s="3" t="n">
        <v>38</v>
      </c>
      <c r="B39" s="4" t="s">
        <v>81</v>
      </c>
      <c r="C39" s="5" t="s">
        <v>8</v>
      </c>
      <c r="D39" s="6" t="s">
        <v>82</v>
      </c>
    </row>
    <row r="40" customFormat="false" ht="15" hidden="false" customHeight="false" outlineLevel="0" collapsed="false">
      <c r="A40" s="3" t="n">
        <v>39</v>
      </c>
      <c r="B40" s="4" t="s">
        <v>83</v>
      </c>
      <c r="C40" s="5" t="s">
        <v>8</v>
      </c>
      <c r="D40" s="6" t="s">
        <v>84</v>
      </c>
    </row>
    <row r="41" customFormat="false" ht="15" hidden="false" customHeight="false" outlineLevel="0" collapsed="false">
      <c r="A41" s="3" t="n">
        <v>40</v>
      </c>
      <c r="B41" s="4" t="s">
        <v>85</v>
      </c>
      <c r="C41" s="5" t="s">
        <v>8</v>
      </c>
      <c r="D41" s="6" t="s">
        <v>11</v>
      </c>
    </row>
    <row r="42" customFormat="false" ht="15" hidden="false" customHeight="false" outlineLevel="0" collapsed="false">
      <c r="A42" s="3" t="n">
        <v>41</v>
      </c>
      <c r="B42" s="4" t="s">
        <v>86</v>
      </c>
      <c r="C42" s="5" t="s">
        <v>8</v>
      </c>
      <c r="D42" s="6" t="s">
        <v>87</v>
      </c>
    </row>
    <row r="43" customFormat="false" ht="15" hidden="false" customHeight="false" outlineLevel="0" collapsed="false">
      <c r="A43" s="3" t="n">
        <v>42</v>
      </c>
      <c r="B43" s="4" t="s">
        <v>88</v>
      </c>
      <c r="C43" s="5" t="s">
        <v>8</v>
      </c>
      <c r="D43" s="6" t="s">
        <v>89</v>
      </c>
    </row>
    <row r="44" customFormat="false" ht="23.85" hidden="false" customHeight="false" outlineLevel="0" collapsed="false">
      <c r="A44" s="3" t="n">
        <v>43</v>
      </c>
      <c r="B44" s="4" t="s">
        <v>90</v>
      </c>
      <c r="C44" s="5" t="s">
        <v>8</v>
      </c>
      <c r="D44" s="6" t="s">
        <v>13</v>
      </c>
    </row>
    <row r="45" customFormat="false" ht="15" hidden="false" customHeight="false" outlineLevel="0" collapsed="false">
      <c r="A45" s="3" t="n">
        <v>44</v>
      </c>
      <c r="B45" s="4" t="s">
        <v>91</v>
      </c>
      <c r="C45" s="5" t="s">
        <v>8</v>
      </c>
      <c r="D45" s="6" t="s">
        <v>92</v>
      </c>
    </row>
    <row r="46" customFormat="false" ht="15" hidden="false" customHeight="false" outlineLevel="0" collapsed="false">
      <c r="A46" s="3" t="n">
        <v>45</v>
      </c>
      <c r="B46" s="4" t="s">
        <v>93</v>
      </c>
      <c r="C46" s="5" t="s">
        <v>8</v>
      </c>
      <c r="D46" s="6" t="s">
        <v>94</v>
      </c>
    </row>
    <row r="47" customFormat="false" ht="15" hidden="false" customHeight="false" outlineLevel="0" collapsed="false">
      <c r="A47" s="3" t="n">
        <v>46</v>
      </c>
      <c r="B47" s="4" t="s">
        <v>95</v>
      </c>
      <c r="C47" s="5" t="s">
        <v>5</v>
      </c>
      <c r="D47" s="6" t="s">
        <v>96</v>
      </c>
    </row>
    <row r="48" customFormat="false" ht="15" hidden="false" customHeight="false" outlineLevel="0" collapsed="false">
      <c r="A48" s="3" t="n">
        <v>47</v>
      </c>
      <c r="B48" s="4" t="s">
        <v>97</v>
      </c>
      <c r="C48" s="5" t="s">
        <v>8</v>
      </c>
      <c r="D48" s="6" t="s">
        <v>98</v>
      </c>
    </row>
    <row r="49" customFormat="false" ht="15" hidden="false" customHeight="false" outlineLevel="0" collapsed="false">
      <c r="A49" s="3" t="n">
        <v>48</v>
      </c>
      <c r="B49" s="4" t="s">
        <v>99</v>
      </c>
      <c r="C49" s="5" t="s">
        <v>8</v>
      </c>
      <c r="D49" s="6" t="s">
        <v>100</v>
      </c>
    </row>
    <row r="50" customFormat="false" ht="15" hidden="false" customHeight="false" outlineLevel="0" collapsed="false">
      <c r="A50" s="3" t="n">
        <v>49</v>
      </c>
      <c r="B50" s="4" t="s">
        <v>101</v>
      </c>
      <c r="C50" s="5" t="s">
        <v>8</v>
      </c>
      <c r="D50" s="6" t="s">
        <v>102</v>
      </c>
    </row>
    <row r="51" customFormat="false" ht="15" hidden="false" customHeight="false" outlineLevel="0" collapsed="false">
      <c r="A51" s="3" t="n">
        <v>50</v>
      </c>
      <c r="B51" s="4" t="s">
        <v>103</v>
      </c>
      <c r="C51" s="5" t="s">
        <v>8</v>
      </c>
      <c r="D51" s="6" t="s">
        <v>104</v>
      </c>
    </row>
    <row r="52" customFormat="false" ht="15" hidden="false" customHeight="false" outlineLevel="0" collapsed="false">
      <c r="A52" s="3"/>
      <c r="B52" s="4"/>
      <c r="C52" s="5"/>
      <c r="D52" s="6"/>
    </row>
  </sheetData>
  <autoFilter ref="A1:D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95"/>
    <col collapsed="false" customWidth="true" hidden="false" outlineLevel="0" max="3" min="2" style="1" width="12"/>
  </cols>
  <sheetData>
    <row r="1" customFormat="false" ht="16.15" hidden="false" customHeight="false" outlineLevel="0" collapsed="false">
      <c r="A1" s="7" t="s">
        <v>105</v>
      </c>
    </row>
    <row r="2" customFormat="false" ht="15" hidden="false" customHeight="false" outlineLevel="0" collapsed="false">
      <c r="A2" s="8" t="s">
        <v>106</v>
      </c>
    </row>
    <row r="4" customFormat="false" ht="15" hidden="false" customHeight="false" outlineLevel="0" collapsed="false">
      <c r="A4" s="9" t="s">
        <v>2</v>
      </c>
      <c r="B4" s="9" t="s">
        <v>107</v>
      </c>
      <c r="C4" s="9" t="s">
        <v>108</v>
      </c>
    </row>
    <row r="5" customFormat="false" ht="15" hidden="false" customHeight="false" outlineLevel="0" collapsed="false">
      <c r="A5" s="10" t="s">
        <v>109</v>
      </c>
      <c r="B5" s="10" t="n">
        <f aca="false">COUNTIF(Labels!$C$2:$C$52,"SUPPORTS*")</f>
        <v>0</v>
      </c>
      <c r="C5" s="11" t="n">
        <f aca="false">IFERROR(B5/$B$9,0)</f>
        <v>0</v>
      </c>
    </row>
    <row r="6" customFormat="false" ht="15" hidden="false" customHeight="false" outlineLevel="0" collapsed="false">
      <c r="A6" s="10" t="s">
        <v>110</v>
      </c>
      <c r="B6" s="10" t="n">
        <f aca="false">COUNTIF(Labels!$C$2:$C$52,"REFUTES*")</f>
        <v>0</v>
      </c>
      <c r="C6" s="11" t="n">
        <f aca="false">IFERROR(B6/$B$9,0)</f>
        <v>0</v>
      </c>
    </row>
    <row r="7" customFormat="false" ht="15" hidden="false" customHeight="false" outlineLevel="0" collapsed="false">
      <c r="A7" s="10" t="s">
        <v>111</v>
      </c>
      <c r="B7" s="10" t="n">
        <f aca="false">COUNTIF(Labels!$C$2:$C$52,"NEI*")</f>
        <v>9</v>
      </c>
      <c r="C7" s="11" t="n">
        <f aca="false">IFERROR(B7/$B$9,0)</f>
        <v>0.18</v>
      </c>
    </row>
    <row r="8" customFormat="false" ht="15" hidden="false" customHeight="false" outlineLevel="0" collapsed="false">
      <c r="A8" s="10" t="s">
        <v>112</v>
      </c>
      <c r="B8" s="10" t="n">
        <f aca="false">COUNTIF(Labels!$C$2:$C$52,"*MALFORMED*")+COUNTIFS(Labels!$C$2:$C$52,"*NEI*",Labels!$C$2:$C$52,"*REFUTES*")</f>
        <v>0</v>
      </c>
      <c r="C8" s="11" t="n">
        <f aca="false">IFERROR(B8/$B$9,0)</f>
        <v>0</v>
      </c>
    </row>
    <row r="9" customFormat="false" ht="15" hidden="false" customHeight="false" outlineLevel="0" collapsed="false">
      <c r="A9" s="12" t="s">
        <v>113</v>
      </c>
      <c r="B9" s="12" t="n">
        <f aca="false">COUNTA(Labels!$A$2:$A$52)</f>
        <v>50</v>
      </c>
      <c r="C9" s="13" t="n">
        <f aca="false">IFERROR(SUM(C5:C8),0)</f>
        <v>0.18</v>
      </c>
    </row>
    <row r="11" customFormat="false" ht="15" hidden="false" customHeight="false" outlineLevel="0" collapsed="false">
      <c r="A11" s="14" t="s">
        <v>114</v>
      </c>
    </row>
    <row r="12" customFormat="false" ht="30" hidden="false" customHeight="true" outlineLevel="0" collapsed="false">
      <c r="A12" s="15" t="s">
        <v>115</v>
      </c>
    </row>
    <row r="13" customFormat="false" ht="30" hidden="false" customHeight="true" outlineLevel="0" collapsed="false">
      <c r="A13" s="15" t="s">
        <v>116</v>
      </c>
    </row>
    <row r="14" customFormat="false" ht="30" hidden="false" customHeight="true" outlineLevel="0" collapsed="false">
      <c r="A14" s="15" t="s">
        <v>117</v>
      </c>
    </row>
    <row r="15" customFormat="false" ht="30" hidden="false" customHeight="true" outlineLevel="0" collapsed="false">
      <c r="A15" s="15" t="s">
        <v>118</v>
      </c>
    </row>
    <row r="16" customFormat="false" ht="30" hidden="false" customHeight="true" outlineLevel="0" collapsed="false">
      <c r="A16" s="15" t="s">
        <v>119</v>
      </c>
    </row>
    <row r="17" customFormat="false" ht="30" hidden="false" customHeight="true" outlineLevel="0" collapsed="false">
      <c r="A17" s="15" t="s">
        <v>120</v>
      </c>
    </row>
    <row r="18" customFormat="false" ht="30" hidden="false" customHeight="true" outlineLevel="0" collapsed="false">
      <c r="A18" s="15"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2026-07-11T08:58:55Z</dcterms:created>
  <dc:creator>openpyxl</dc:creator>
  <dc:description/>
  <dc:language>en-US</dc:language>
  <cp:lastModifiedBy/>
  <dcterms:modified xsi:type="dcterms:W3CDTF">2026-07-12T17:35:59Z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