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Summary" sheetId="2" state="visible" r:id="rId4"/>
  </sheets>
  <definedNames>
    <definedName function="false" hidden="true" localSheetId="0" name="_xlnm._FilterDatabase" vbProcedure="false">Labels!$A$1:$D$51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<sst xmlns="http://schemas.openxmlformats.org/spreadsheetml/2006/main" count="169" uniqueCount="120">
  <si>
    <t xml:space="preserve">#</t>
  </si>
  <si>
    <t xml:space="preserve">Claim (short)</t>
  </si>
  <si>
    <t xml:space="preserve">Label</t>
  </si>
  <si>
    <t xml:space="preserve">Note</t>
  </si>
  <si>
    <t xml:space="preserve">Jihadists burned Kali idol, W. Bengal</t>
  </si>
  <si>
    <t xml:space="preserve">REFUTES</t>
  </si>
  <si>
    <t xml:space="preserve">Police denied the communal angle; no attack by Muslims.</t>
  </si>
  <si>
    <t xml:space="preserve">Lower age of consent to 4 (US)</t>
  </si>
  <si>
    <t xml:space="preserve">NEI</t>
  </si>
  <si>
    <t xml:space="preserve">"No answer could be found" for any such proposal; definitions neither confirm nor deny.</t>
  </si>
  <si>
    <t xml:space="preserve">Raj Thackeray backs Kangana</t>
  </si>
  <si>
    <t xml:space="preserve">Claim came from @thackerayoffic; the real handle is @RajThackeray.</t>
  </si>
  <si>
    <t xml:space="preserve">COVID-19 a Chinese bioweapon</t>
  </si>
  <si>
    <t xml:space="preserve">Evidence gives zoonotic origin; a lab accident is speculation, not a bioweapon.</t>
  </si>
  <si>
    <t xml:space="preserve">Other countries proved FDA wrong on HCQ</t>
  </si>
  <si>
    <t xml:space="preserve">WHO: little or no mortality reduction; Solidarity trials halted.</t>
  </si>
  <si>
    <t xml:space="preserve">India's China imports +27%</t>
  </si>
  <si>
    <t xml:space="preserve">Imports fell 27.63%.</t>
  </si>
  <si>
    <t xml:space="preserve">Trump facing court case for 1994 rape</t>
  </si>
  <si>
    <t xml:space="preserve">The 2016 Katie Johnson case never reached court proceedings.</t>
  </si>
  <si>
    <t xml:space="preserve">Hunter Biden died</t>
  </si>
  <si>
    <t xml:space="preserve">He is not dead.</t>
  </si>
  <si>
    <t xml:space="preserve">NTA said NEET topper failed</t>
  </si>
  <si>
    <t xml:space="preserve">NTA press release calls it fake news.</t>
  </si>
  <si>
    <t xml:space="preserve">Andrews took IMF bribe</t>
  </si>
  <si>
    <t xml:space="preserve">Victoria never borrowed from the IMF.</t>
  </si>
  <si>
    <t xml:space="preserve">The Wire called Durga a sex worker</t>
  </si>
  <si>
    <t xml:space="preserve">REFUTES (weak)</t>
  </si>
  <si>
    <t xml:space="preserve">The Wire was reporting Smriti Irani reading a pamphlet, not asserting it.</t>
  </si>
  <si>
    <t xml:space="preserve">Vape-through-mask video disproves masks</t>
  </si>
  <si>
    <t xml:space="preserve">Masks reduce droplet emission and inhalation.</t>
  </si>
  <si>
    <t xml:space="preserve">Democrats infected Trump at debate</t>
  </si>
  <si>
    <t xml:space="preserve">Claim is false; even the originator said it was impossible to prove.</t>
  </si>
  <si>
    <t xml:space="preserve">Collins opposes bill due to Oravida</t>
  </si>
  <si>
    <t xml:space="preserve">NEI (leaning refute)</t>
  </si>
  <si>
    <t xml:space="preserve">Husband left the Oravida board in 2017; her motive is never addressed.</t>
  </si>
  <si>
    <t xml:space="preserve">Tweet shows Thackeray backing Kangana</t>
  </si>
  <si>
    <t xml:space="preserve">No such tweet on the verified account; @RealThackeray is unverified.</t>
  </si>
  <si>
    <t xml:space="preserve">SPB family asked TN govt for bill help</t>
  </si>
  <si>
    <t xml:space="preserve">Family called the whole story "a big hogwash".</t>
  </si>
  <si>
    <t xml:space="preserve">Massachusetts deleted 1M ballots</t>
  </si>
  <si>
    <t xml:space="preserve">All ballots cast still exist.</t>
  </si>
  <si>
    <t xml:space="preserve">Andrews borrowed from IMF, in default</t>
  </si>
  <si>
    <t xml:space="preserve">No such loan; Victoria not on the IMF outstanding list.</t>
  </si>
  <si>
    <t xml:space="preserve">Trump banned China travel before 1st case</t>
  </si>
  <si>
    <t xml:space="preserve">First US case 21 Jan; ~40,000 travellers arrived after the "ban".</t>
  </si>
  <si>
    <t xml:space="preserve">All late-arriving ballots thrown out</t>
  </si>
  <si>
    <t xml:space="preserve">Extensions existed (AK, MD accepted through Nov 13).</t>
  </si>
  <si>
    <t xml:space="preserve">George Floyd died of overdose</t>
  </si>
  <si>
    <t xml:space="preserve">Medical examiner ruled homicide: restraint and neck compression.</t>
  </si>
  <si>
    <t xml:space="preserve">Fox News banned in Canada via Radio Act</t>
  </si>
  <si>
    <t xml:space="preserve">Canada has no Radio Act; Fox is CRTC-approved.</t>
  </si>
  <si>
    <t xml:space="preserve">"Ballot Box" trash cans meant to trick voters</t>
  </si>
  <si>
    <t xml:space="preserve">Posters advertised an art exhibit called Ballot Box.</t>
  </si>
  <si>
    <t xml:space="preserve">Trump EO forcing states to reopen</t>
  </si>
  <si>
    <t xml:space="preserve">No such EO in the Federal Register; no such presidential authority.</t>
  </si>
  <si>
    <t xml:space="preserve">Netflix CEO arrested for CSAM</t>
  </si>
  <si>
    <t xml:space="preserve">No evidence or reporting exists — decisive for an arrest of this profile.</t>
  </si>
  <si>
    <t xml:space="preserve">Comey &amp; Brennan charged with treason</t>
  </si>
  <si>
    <t xml:space="preserve">Nothing on the DOJ site; Comey no longer FBI director.</t>
  </si>
  <si>
    <t xml:space="preserve">Biden "running for the Senate" quote</t>
  </si>
  <si>
    <t xml:space="preserve">Deceptively clipped mid-sentence; rated Mostly False.</t>
  </si>
  <si>
    <t xml:space="preserve">Trump not on supplemental oxygen</t>
  </si>
  <si>
    <t xml:space="preserve">His doctor says he received supplemental oxygen.</t>
  </si>
  <si>
    <t xml:space="preserve">E-6B planes deployed over Trump's COVID test</t>
  </si>
  <si>
    <t xml:space="preserve">Evidence addresses what the planes were doing, not why they flew.</t>
  </si>
  <si>
    <t xml:space="preserve">Kanye leading Kentucky polls</t>
  </si>
  <si>
    <t xml:space="preserve">Not on the KY ballot; never ahead of Trump or Biden.</t>
  </si>
  <si>
    <t xml:space="preserve">Trump children banned from charities</t>
  </si>
  <si>
    <t xml:space="preserve">Both sub-claims answered "No".</t>
  </si>
  <si>
    <t xml:space="preserve">No SCOTUS justice seated during an election</t>
  </si>
  <si>
    <t xml:space="preserve">REFUTES (broad) / NEI (strict)</t>
  </si>
  <si>
    <t xml:space="preserve">Five seated in reelection years — but all confirmed before voting began, so "election already underway" is not fully addressed.</t>
  </si>
  <si>
    <t xml:space="preserve">"New" Bunya virus spreading in China</t>
  </si>
  <si>
    <t xml:space="preserve">SFTS identified in 2009 — not new (the spread itself is accurate).</t>
  </si>
  <si>
    <t xml:space="preserve">1918 masks caused pneumonia; Fauci knew</t>
  </si>
  <si>
    <t xml:space="preserve">NIAID: the 2008 study never mentions masks.</t>
  </si>
  <si>
    <t xml:space="preserve">Amber Alert for plate Q72B381</t>
  </si>
  <si>
    <t xml:space="preserve">No alert issued on that date.</t>
  </si>
  <si>
    <t xml:space="preserve">Massachusetts deleted 1M ballots (dup)</t>
  </si>
  <si>
    <t xml:space="preserve">Ballots still exist.</t>
  </si>
  <si>
    <t xml:space="preserve">Flora &amp; Fauna Act classified Aboriginals as animals</t>
  </si>
  <si>
    <t xml:space="preserve">No such Act; the myth is explicitly debunked.</t>
  </si>
  <si>
    <t xml:space="preserve">WHO says no proof masks work</t>
  </si>
  <si>
    <t xml:space="preserve">WHO calls masks a key measure to suppress transmission.</t>
  </si>
  <si>
    <t xml:space="preserve">Biden Senate quote (dup)</t>
  </si>
  <si>
    <t xml:space="preserve">Same as #27.</t>
  </si>
  <si>
    <t xml:space="preserve">Trump not on oxygen (dup)</t>
  </si>
  <si>
    <t xml:space="preserve">Same as #28.</t>
  </si>
  <si>
    <t xml:space="preserve">Fox News unavailable in Canada (dup)</t>
  </si>
  <si>
    <t xml:space="preserve">Fox is approved for transmission in Canada.</t>
  </si>
  <si>
    <t xml:space="preserve">Trump children charity ban (dup)</t>
  </si>
  <si>
    <t xml:space="preserve">Same as #31.</t>
  </si>
  <si>
    <t xml:space="preserve">Lower age of consent to 4 (dup)</t>
  </si>
  <si>
    <t xml:space="preserve">Same as #2.</t>
  </si>
  <si>
    <t xml:space="preserve">Taiwan shot down a Chinese SU-35</t>
  </si>
  <si>
    <t xml:space="preserve">Taiwan's Ministry of National Defense dismissed the report.</t>
  </si>
  <si>
    <t xml:space="preserve">India's China imports +27% (dup)</t>
  </si>
  <si>
    <t xml:space="preserve">NTA NEET blunder (dup)</t>
  </si>
  <si>
    <t xml:space="preserve">Same as #9.</t>
  </si>
  <si>
    <t xml:space="preserve">Andrews IMF bribe (dup)</t>
  </si>
  <si>
    <t xml:space="preserve">Same as #10.</t>
  </si>
  <si>
    <t xml:space="preserve">The Wire / Durga (dup)</t>
  </si>
  <si>
    <t xml:space="preserve">Same as #11.</t>
  </si>
  <si>
    <t xml:space="preserve">Masks cause staph infections</t>
  </si>
  <si>
    <t xml:space="preserve">Evidence lists acne/skin breakdown and says staph enters via skin breaks — it neither confirms nor rules out the causal link.</t>
  </si>
  <si>
    <t xml:space="preserve">CHR's Gascon called army raid a rights violation</t>
  </si>
  <si>
    <t xml:space="preserve">Evidence only impugns the source website; the quote itself is never checked.</t>
  </si>
  <si>
    <t xml:space="preserve">Set 1 — Claim / Evidence labels</t>
  </si>
  <si>
    <t xml:space="preserve">Perturbation token(s): legitimacy · ovoviviparous · unseamanlike</t>
  </si>
  <si>
    <t xml:space="preserve">Count</t>
  </si>
  <si>
    <t xml:space="preserve">Share</t>
  </si>
  <si>
    <t xml:space="preserve">SUPPORTS</t>
  </si>
  <si>
    <t xml:space="preserve">MALFORMED / MIXED</t>
  </si>
  <si>
    <t xml:space="preserve">Total samples</t>
  </si>
  <si>
    <t xml:space="preserve">Notes</t>
  </si>
  <si>
    <t xml:space="preserve">Perturbation: an inert token is appended to each claim. It attaches as a dangling noun/adverb and asserts nothing checkable, so the core proposition stays exactly as verifiable as before. The trick does NOT produce NEI.</t>
  </si>
  <si>
    <t xml:space="preserve">Yield: 0 SUPPORTS, ~42 REFUTES, ~4 clean NEI. The NEI items are NEI because the evidence set itself is incomplete (no documentation found; only the source impugned; causal mechanism never tested) — not because of the inserted word.</t>
  </si>
  <si>
    <t xml:space="preserve">Ambiguous middle: #14, #29, #32. In each, the evidence attacks an adjacent fact rather than the claim's actual assertion. Worth double-checking against gold labels.</t>
  </si>
  <si>
    <t xml:space="preserve">Recommendation: to build genuine NEI, remove or obscure a load-bearing piece of evidence rather than bolting on a nonsense modifier.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</si>
</sst>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C"/>
        <bgColor rgb="FFE7E6E6"/>
      </patternFill>
    </fill>
    <fill>
      <patternFill patternType="solid">
        <fgColor rgb="FFFFF2CC"/>
        <bgColor rgb="FFFCE4EC"/>
      </patternFill>
    </fill>
    <fill>
      <patternFill patternType="solid">
        <fgColor rgb="FFE7E6E6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7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4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3" t="s">
        <v>7</v>
      </c>
      <c r="C3" s="5" t="s">
        <v>8</v>
      </c>
      <c r="D3" s="3" t="s">
        <v>9</v>
      </c>
    </row>
    <row r="4" customFormat="false" ht="15" hidden="false" customHeight="false" outlineLevel="0" collapsed="false">
      <c r="A4" s="2" t="n">
        <v>3</v>
      </c>
      <c r="B4" s="3" t="s">
        <v>10</v>
      </c>
      <c r="C4" s="4" t="s">
        <v>5</v>
      </c>
      <c r="D4" s="3" t="s">
        <v>11</v>
      </c>
    </row>
    <row r="5" customFormat="false" ht="15" hidden="false" customHeight="false" outlineLevel="0" collapsed="false">
      <c r="A5" s="2" t="n">
        <v>4</v>
      </c>
      <c r="B5" s="3" t="s">
        <v>12</v>
      </c>
      <c r="C5" s="4" t="s">
        <v>5</v>
      </c>
      <c r="D5" s="3" t="s">
        <v>13</v>
      </c>
    </row>
    <row r="6" customFormat="false" ht="15" hidden="false" customHeight="false" outlineLevel="0" collapsed="false">
      <c r="A6" s="2" t="n">
        <v>5</v>
      </c>
      <c r="B6" s="3" t="s">
        <v>14</v>
      </c>
      <c r="C6" s="4" t="s">
        <v>5</v>
      </c>
      <c r="D6" s="3" t="s">
        <v>15</v>
      </c>
    </row>
    <row r="7" customFormat="false" ht="15" hidden="false" customHeight="false" outlineLevel="0" collapsed="false">
      <c r="A7" s="2" t="n">
        <v>6</v>
      </c>
      <c r="B7" s="3" t="s">
        <v>16</v>
      </c>
      <c r="C7" s="4" t="s">
        <v>5</v>
      </c>
      <c r="D7" s="3" t="s">
        <v>17</v>
      </c>
    </row>
    <row r="8" customFormat="false" ht="15" hidden="false" customHeight="false" outlineLevel="0" collapsed="false">
      <c r="A8" s="2" t="n">
        <v>7</v>
      </c>
      <c r="B8" s="3" t="s">
        <v>18</v>
      </c>
      <c r="C8" s="4" t="s">
        <v>5</v>
      </c>
      <c r="D8" s="3" t="s">
        <v>19</v>
      </c>
    </row>
    <row r="9" customFormat="false" ht="15" hidden="false" customHeight="false" outlineLevel="0" collapsed="false">
      <c r="A9" s="2" t="n">
        <v>8</v>
      </c>
      <c r="B9" s="3" t="s">
        <v>20</v>
      </c>
      <c r="C9" s="4" t="s">
        <v>5</v>
      </c>
      <c r="D9" s="3" t="s">
        <v>21</v>
      </c>
    </row>
    <row r="10" customFormat="false" ht="15" hidden="false" customHeight="false" outlineLevel="0" collapsed="false">
      <c r="A10" s="2" t="n">
        <v>9</v>
      </c>
      <c r="B10" s="3" t="s">
        <v>22</v>
      </c>
      <c r="C10" s="4" t="s">
        <v>5</v>
      </c>
      <c r="D10" s="3" t="s">
        <v>23</v>
      </c>
    </row>
    <row r="11" customFormat="false" ht="15" hidden="false" customHeight="false" outlineLevel="0" collapsed="false">
      <c r="A11" s="2" t="n">
        <v>10</v>
      </c>
      <c r="B11" s="3" t="s">
        <v>24</v>
      </c>
      <c r="C11" s="4" t="s">
        <v>5</v>
      </c>
      <c r="D11" s="3" t="s">
        <v>25</v>
      </c>
    </row>
    <row r="12" customFormat="false" ht="15" hidden="false" customHeight="false" outlineLevel="0" collapsed="false">
      <c r="A12" s="2" t="n">
        <v>11</v>
      </c>
      <c r="B12" s="3" t="s">
        <v>26</v>
      </c>
      <c r="C12" s="4" t="s">
        <v>27</v>
      </c>
      <c r="D12" s="3" t="s">
        <v>28</v>
      </c>
    </row>
    <row r="13" customFormat="false" ht="15" hidden="false" customHeight="false" outlineLevel="0" collapsed="false">
      <c r="A13" s="2" t="n">
        <v>12</v>
      </c>
      <c r="B13" s="3" t="s">
        <v>29</v>
      </c>
      <c r="C13" s="4" t="s">
        <v>5</v>
      </c>
      <c r="D13" s="3" t="s">
        <v>30</v>
      </c>
    </row>
    <row r="14" customFormat="false" ht="15" hidden="false" customHeight="false" outlineLevel="0" collapsed="false">
      <c r="A14" s="2" t="n">
        <v>13</v>
      </c>
      <c r="B14" s="3" t="s">
        <v>31</v>
      </c>
      <c r="C14" s="4" t="s">
        <v>5</v>
      </c>
      <c r="D14" s="3" t="s">
        <v>32</v>
      </c>
    </row>
    <row r="15" customFormat="false" ht="15" hidden="false" customHeight="false" outlineLevel="0" collapsed="false">
      <c r="A15" s="2" t="n">
        <v>14</v>
      </c>
      <c r="B15" s="3" t="s">
        <v>33</v>
      </c>
      <c r="C15" s="5" t="s">
        <v>34</v>
      </c>
      <c r="D15" s="3" t="s">
        <v>35</v>
      </c>
    </row>
    <row r="16" customFormat="false" ht="15" hidden="false" customHeight="false" outlineLevel="0" collapsed="false">
      <c r="A16" s="2" t="n">
        <v>15</v>
      </c>
      <c r="B16" s="3" t="s">
        <v>36</v>
      </c>
      <c r="C16" s="4" t="s">
        <v>5</v>
      </c>
      <c r="D16" s="3" t="s">
        <v>37</v>
      </c>
    </row>
    <row r="17" customFormat="false" ht="15" hidden="false" customHeight="false" outlineLevel="0" collapsed="false">
      <c r="A17" s="2" t="n">
        <v>16</v>
      </c>
      <c r="B17" s="3" t="s">
        <v>38</v>
      </c>
      <c r="C17" s="4" t="s">
        <v>5</v>
      </c>
      <c r="D17" s="3" t="s">
        <v>39</v>
      </c>
    </row>
    <row r="18" customFormat="false" ht="15" hidden="false" customHeight="false" outlineLevel="0" collapsed="false">
      <c r="A18" s="2" t="n">
        <v>17</v>
      </c>
      <c r="B18" s="3" t="s">
        <v>40</v>
      </c>
      <c r="C18" s="4" t="s">
        <v>5</v>
      </c>
      <c r="D18" s="3" t="s">
        <v>41</v>
      </c>
    </row>
    <row r="19" customFormat="false" ht="15" hidden="false" customHeight="false" outlineLevel="0" collapsed="false">
      <c r="A19" s="2" t="n">
        <v>18</v>
      </c>
      <c r="B19" s="3" t="s">
        <v>42</v>
      </c>
      <c r="C19" s="4" t="s">
        <v>5</v>
      </c>
      <c r="D19" s="3" t="s">
        <v>43</v>
      </c>
    </row>
    <row r="20" customFormat="false" ht="15" hidden="false" customHeight="false" outlineLevel="0" collapsed="false">
      <c r="A20" s="2" t="n">
        <v>19</v>
      </c>
      <c r="B20" s="3" t="s">
        <v>44</v>
      </c>
      <c r="C20" s="4" t="s">
        <v>5</v>
      </c>
      <c r="D20" s="3" t="s">
        <v>45</v>
      </c>
    </row>
    <row r="21" customFormat="false" ht="15" hidden="false" customHeight="false" outlineLevel="0" collapsed="false">
      <c r="A21" s="2" t="n">
        <v>20</v>
      </c>
      <c r="B21" s="3" t="s">
        <v>46</v>
      </c>
      <c r="C21" s="4" t="s">
        <v>5</v>
      </c>
      <c r="D21" s="3" t="s">
        <v>47</v>
      </c>
    </row>
    <row r="22" customFormat="false" ht="15" hidden="false" customHeight="false" outlineLevel="0" collapsed="false">
      <c r="A22" s="2" t="n">
        <v>21</v>
      </c>
      <c r="B22" s="3" t="s">
        <v>48</v>
      </c>
      <c r="C22" s="4" t="s">
        <v>5</v>
      </c>
      <c r="D22" s="3" t="s">
        <v>49</v>
      </c>
    </row>
    <row r="23" customFormat="false" ht="15" hidden="false" customHeight="false" outlineLevel="0" collapsed="false">
      <c r="A23" s="2" t="n">
        <v>22</v>
      </c>
      <c r="B23" s="3" t="s">
        <v>50</v>
      </c>
      <c r="C23" s="4" t="s">
        <v>5</v>
      </c>
      <c r="D23" s="3" t="s">
        <v>51</v>
      </c>
    </row>
    <row r="24" customFormat="false" ht="15" hidden="false" customHeight="false" outlineLevel="0" collapsed="false">
      <c r="A24" s="2" t="n">
        <v>23</v>
      </c>
      <c r="B24" s="3" t="s">
        <v>52</v>
      </c>
      <c r="C24" s="4" t="s">
        <v>5</v>
      </c>
      <c r="D24" s="3" t="s">
        <v>53</v>
      </c>
    </row>
    <row r="25" customFormat="false" ht="15" hidden="false" customHeight="false" outlineLevel="0" collapsed="false">
      <c r="A25" s="2" t="n">
        <v>24</v>
      </c>
      <c r="B25" s="3" t="s">
        <v>54</v>
      </c>
      <c r="C25" s="4" t="s">
        <v>5</v>
      </c>
      <c r="D25" s="3" t="s">
        <v>55</v>
      </c>
    </row>
    <row r="26" customFormat="false" ht="15" hidden="false" customHeight="false" outlineLevel="0" collapsed="false">
      <c r="A26" s="2" t="n">
        <v>25</v>
      </c>
      <c r="B26" s="3" t="s">
        <v>56</v>
      </c>
      <c r="C26" s="4" t="s">
        <v>5</v>
      </c>
      <c r="D26" s="3" t="s">
        <v>57</v>
      </c>
    </row>
    <row r="27" customFormat="false" ht="15" hidden="false" customHeight="false" outlineLevel="0" collapsed="false">
      <c r="A27" s="2" t="n">
        <v>26</v>
      </c>
      <c r="B27" s="3" t="s">
        <v>58</v>
      </c>
      <c r="C27" s="4" t="s">
        <v>5</v>
      </c>
      <c r="D27" s="3" t="s">
        <v>59</v>
      </c>
    </row>
    <row r="28" customFormat="false" ht="15" hidden="false" customHeight="false" outlineLevel="0" collapsed="false">
      <c r="A28" s="2" t="n">
        <v>27</v>
      </c>
      <c r="B28" s="3" t="s">
        <v>60</v>
      </c>
      <c r="C28" s="4" t="s">
        <v>5</v>
      </c>
      <c r="D28" s="3" t="s">
        <v>61</v>
      </c>
    </row>
    <row r="29" customFormat="false" ht="15" hidden="false" customHeight="false" outlineLevel="0" collapsed="false">
      <c r="A29" s="2" t="n">
        <v>28</v>
      </c>
      <c r="B29" s="3" t="s">
        <v>62</v>
      </c>
      <c r="C29" s="4" t="s">
        <v>5</v>
      </c>
      <c r="D29" s="3" t="s">
        <v>63</v>
      </c>
    </row>
    <row r="30" customFormat="false" ht="15" hidden="false" customHeight="false" outlineLevel="0" collapsed="false">
      <c r="A30" s="2" t="n">
        <v>29</v>
      </c>
      <c r="B30" s="3" t="s">
        <v>64</v>
      </c>
      <c r="C30" s="5" t="s">
        <v>34</v>
      </c>
      <c r="D30" s="3" t="s">
        <v>65</v>
      </c>
    </row>
    <row r="31" customFormat="false" ht="15" hidden="false" customHeight="false" outlineLevel="0" collapsed="false">
      <c r="A31" s="2" t="n">
        <v>30</v>
      </c>
      <c r="B31" s="3" t="s">
        <v>66</v>
      </c>
      <c r="C31" s="4" t="s">
        <v>5</v>
      </c>
      <c r="D31" s="3" t="s">
        <v>67</v>
      </c>
    </row>
    <row r="32" customFormat="false" ht="15" hidden="false" customHeight="false" outlineLevel="0" collapsed="false">
      <c r="A32" s="2" t="n">
        <v>31</v>
      </c>
      <c r="B32" s="3" t="s">
        <v>68</v>
      </c>
      <c r="C32" s="4" t="s">
        <v>5</v>
      </c>
      <c r="D32" s="3" t="s">
        <v>69</v>
      </c>
    </row>
    <row r="33" customFormat="false" ht="23.85" hidden="false" customHeight="false" outlineLevel="0" collapsed="false">
      <c r="A33" s="2" t="n">
        <v>32</v>
      </c>
      <c r="B33" s="3" t="s">
        <v>70</v>
      </c>
      <c r="C33" s="6" t="s">
        <v>71</v>
      </c>
      <c r="D33" s="3" t="s">
        <v>72</v>
      </c>
    </row>
    <row r="34" customFormat="false" ht="15" hidden="false" customHeight="false" outlineLevel="0" collapsed="false">
      <c r="A34" s="2" t="n">
        <v>33</v>
      </c>
      <c r="B34" s="3" t="s">
        <v>73</v>
      </c>
      <c r="C34" s="4" t="s">
        <v>5</v>
      </c>
      <c r="D34" s="3" t="s">
        <v>74</v>
      </c>
    </row>
    <row r="35" customFormat="false" ht="15" hidden="false" customHeight="false" outlineLevel="0" collapsed="false">
      <c r="A35" s="2" t="n">
        <v>34</v>
      </c>
      <c r="B35" s="3" t="s">
        <v>75</v>
      </c>
      <c r="C35" s="4" t="s">
        <v>5</v>
      </c>
      <c r="D35" s="3" t="s">
        <v>76</v>
      </c>
    </row>
    <row r="36" customFormat="false" ht="15" hidden="false" customHeight="false" outlineLevel="0" collapsed="false">
      <c r="A36" s="2" t="n">
        <v>35</v>
      </c>
      <c r="B36" s="3" t="s">
        <v>77</v>
      </c>
      <c r="C36" s="4" t="s">
        <v>5</v>
      </c>
      <c r="D36" s="3" t="s">
        <v>78</v>
      </c>
    </row>
    <row r="37" customFormat="false" ht="15" hidden="false" customHeight="false" outlineLevel="0" collapsed="false">
      <c r="A37" s="2" t="n">
        <v>36</v>
      </c>
      <c r="B37" s="3" t="s">
        <v>79</v>
      </c>
      <c r="C37" s="4" t="s">
        <v>5</v>
      </c>
      <c r="D37" s="3" t="s">
        <v>80</v>
      </c>
    </row>
    <row r="38" customFormat="false" ht="15" hidden="false" customHeight="false" outlineLevel="0" collapsed="false">
      <c r="A38" s="2" t="n">
        <v>37</v>
      </c>
      <c r="B38" s="3" t="s">
        <v>81</v>
      </c>
      <c r="C38" s="4" t="s">
        <v>5</v>
      </c>
      <c r="D38" s="3" t="s">
        <v>82</v>
      </c>
    </row>
    <row r="39" customFormat="false" ht="15" hidden="false" customHeight="false" outlineLevel="0" collapsed="false">
      <c r="A39" s="2" t="n">
        <v>38</v>
      </c>
      <c r="B39" s="3" t="s">
        <v>83</v>
      </c>
      <c r="C39" s="4" t="s">
        <v>5</v>
      </c>
      <c r="D39" s="3" t="s">
        <v>84</v>
      </c>
    </row>
    <row r="40" customFormat="false" ht="15" hidden="false" customHeight="false" outlineLevel="0" collapsed="false">
      <c r="A40" s="2" t="n">
        <v>39</v>
      </c>
      <c r="B40" s="3" t="s">
        <v>85</v>
      </c>
      <c r="C40" s="4" t="s">
        <v>5</v>
      </c>
      <c r="D40" s="3" t="s">
        <v>86</v>
      </c>
    </row>
    <row r="41" customFormat="false" ht="15" hidden="false" customHeight="false" outlineLevel="0" collapsed="false">
      <c r="A41" s="2" t="n">
        <v>40</v>
      </c>
      <c r="B41" s="3" t="s">
        <v>87</v>
      </c>
      <c r="C41" s="4" t="s">
        <v>5</v>
      </c>
      <c r="D41" s="3" t="s">
        <v>88</v>
      </c>
    </row>
    <row r="42" customFormat="false" ht="15" hidden="false" customHeight="false" outlineLevel="0" collapsed="false">
      <c r="A42" s="2" t="n">
        <v>41</v>
      </c>
      <c r="B42" s="3" t="s">
        <v>89</v>
      </c>
      <c r="C42" s="4" t="s">
        <v>5</v>
      </c>
      <c r="D42" s="3" t="s">
        <v>90</v>
      </c>
    </row>
    <row r="43" customFormat="false" ht="15" hidden="false" customHeight="false" outlineLevel="0" collapsed="false">
      <c r="A43" s="2" t="n">
        <v>42</v>
      </c>
      <c r="B43" s="3" t="s">
        <v>91</v>
      </c>
      <c r="C43" s="4" t="s">
        <v>5</v>
      </c>
      <c r="D43" s="3" t="s">
        <v>92</v>
      </c>
    </row>
    <row r="44" customFormat="false" ht="15" hidden="false" customHeight="false" outlineLevel="0" collapsed="false">
      <c r="A44" s="2" t="n">
        <v>43</v>
      </c>
      <c r="B44" s="3" t="s">
        <v>93</v>
      </c>
      <c r="C44" s="5" t="s">
        <v>8</v>
      </c>
      <c r="D44" s="3" t="s">
        <v>94</v>
      </c>
    </row>
    <row r="45" customFormat="false" ht="15" hidden="false" customHeight="false" outlineLevel="0" collapsed="false">
      <c r="A45" s="2" t="n">
        <v>44</v>
      </c>
      <c r="B45" s="3" t="s">
        <v>95</v>
      </c>
      <c r="C45" s="4" t="s">
        <v>5</v>
      </c>
      <c r="D45" s="3" t="s">
        <v>96</v>
      </c>
    </row>
    <row r="46" customFormat="false" ht="15" hidden="false" customHeight="false" outlineLevel="0" collapsed="false">
      <c r="A46" s="2" t="n">
        <v>45</v>
      </c>
      <c r="B46" s="3" t="s">
        <v>97</v>
      </c>
      <c r="C46" s="4" t="s">
        <v>5</v>
      </c>
      <c r="D46" s="3" t="s">
        <v>17</v>
      </c>
    </row>
    <row r="47" customFormat="false" ht="15" hidden="false" customHeight="false" outlineLevel="0" collapsed="false">
      <c r="A47" s="2" t="n">
        <v>46</v>
      </c>
      <c r="B47" s="3" t="s">
        <v>98</v>
      </c>
      <c r="C47" s="4" t="s">
        <v>5</v>
      </c>
      <c r="D47" s="3" t="s">
        <v>99</v>
      </c>
    </row>
    <row r="48" customFormat="false" ht="15" hidden="false" customHeight="false" outlineLevel="0" collapsed="false">
      <c r="A48" s="2" t="n">
        <v>47</v>
      </c>
      <c r="B48" s="3" t="s">
        <v>100</v>
      </c>
      <c r="C48" s="4" t="s">
        <v>5</v>
      </c>
      <c r="D48" s="3" t="s">
        <v>101</v>
      </c>
    </row>
    <row r="49" customFormat="false" ht="15" hidden="false" customHeight="false" outlineLevel="0" collapsed="false">
      <c r="A49" s="2" t="n">
        <v>48</v>
      </c>
      <c r="B49" s="3" t="s">
        <v>102</v>
      </c>
      <c r="C49" s="4" t="s">
        <v>27</v>
      </c>
      <c r="D49" s="3" t="s">
        <v>103</v>
      </c>
    </row>
    <row r="50" customFormat="false" ht="23.85" hidden="false" customHeight="false" outlineLevel="0" collapsed="false">
      <c r="A50" s="2" t="n">
        <v>49</v>
      </c>
      <c r="B50" s="3" t="s">
        <v>104</v>
      </c>
      <c r="C50" s="5" t="s">
        <v>8</v>
      </c>
      <c r="D50" s="3" t="s">
        <v>105</v>
      </c>
    </row>
    <row r="51" customFormat="false" ht="15" hidden="false" customHeight="false" outlineLevel="0" collapsed="false">
      <c r="A51" s="2" t="n">
        <v>50</v>
      </c>
      <c r="B51" s="3" t="s">
        <v>106</v>
      </c>
      <c r="C51" s="5" t="s">
        <v>8</v>
      </c>
      <c r="D51" s="3" t="s">
        <v>107</v>
      </c>
    </row>
  </sheetData>
  <autoFilter ref="A1:D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7" t="s">
        <v>108</v>
      </c>
    </row>
    <row r="2" customFormat="false" ht="15" hidden="false" customHeight="false" outlineLevel="0" collapsed="false">
      <c r="A2" s="8" t="s">
        <v>109</v>
      </c>
    </row>
    <row r="4" customFormat="false" ht="15" hidden="false" customHeight="false" outlineLevel="0" collapsed="false">
      <c r="A4" s="9" t="s">
        <v>2</v>
      </c>
      <c r="B4" s="9" t="s">
        <v>110</v>
      </c>
      <c r="C4" s="9" t="s">
        <v>111</v>
      </c>
    </row>
    <row r="5" customFormat="false" ht="15" hidden="false" customHeight="false" outlineLevel="0" collapsed="false">
      <c r="A5" s="10" t="s">
        <v>112</v>
      </c>
      <c r="B5" s="10" t="n">
        <f aca="false">COUNTIF(Labels!$C$2:$C$51,"SUPPORTS*")</f>
        <v>0</v>
      </c>
      <c r="C5" s="11" t="n">
        <f aca="false">IFERROR(B5/$B$9,0)</f>
        <v>0</v>
      </c>
    </row>
    <row r="6" customFormat="false" ht="15" hidden="false" customHeight="false" outlineLevel="0" collapsed="false">
      <c r="A6" s="10" t="s">
        <v>5</v>
      </c>
      <c r="B6" s="10" t="n">
        <f aca="false">COUNTIF(Labels!$C$2:$C$51,"REFUTES*")</f>
        <v>44</v>
      </c>
      <c r="C6" s="11" t="n">
        <f aca="false">IFERROR(B6/$B$9,0)</f>
        <v>0.88</v>
      </c>
    </row>
    <row r="7" customFormat="false" ht="15" hidden="false" customHeight="false" outlineLevel="0" collapsed="false">
      <c r="A7" s="10" t="s">
        <v>8</v>
      </c>
      <c r="B7" s="10" t="n">
        <f aca="false">COUNTIF(Labels!$C$2:$C$51,"NEI*")</f>
        <v>6</v>
      </c>
      <c r="C7" s="11" t="n">
        <f aca="false">IFERROR(B7/$B$9,0)</f>
        <v>0.12</v>
      </c>
    </row>
    <row r="8" customFormat="false" ht="15" hidden="false" customHeight="false" outlineLevel="0" collapsed="false">
      <c r="A8" s="10" t="s">
        <v>113</v>
      </c>
      <c r="B8" s="10" t="n">
        <f aca="false">COUNTIF(Labels!$C$2:$C$51,"*MALFORMED*")+COUNTIFS(Labels!$C$2:$C$51,"*NEI*",Labels!$C$2:$C$51,"*REFUTES*")</f>
        <v>1</v>
      </c>
      <c r="C8" s="11" t="n">
        <f aca="false">IFERROR(B8/$B$9,0)</f>
        <v>0.02</v>
      </c>
    </row>
    <row r="9" customFormat="false" ht="15" hidden="false" customHeight="false" outlineLevel="0" collapsed="false">
      <c r="A9" s="12" t="s">
        <v>114</v>
      </c>
      <c r="B9" s="12" t="n">
        <f aca="false">COUNTA(Labels!$A$2:$A$51)</f>
        <v>50</v>
      </c>
      <c r="C9" s="13" t="n">
        <f aca="false">IFERROR(SUM(C5:C8),0)</f>
        <v>1.02</v>
      </c>
    </row>
    <row r="11" customFormat="false" ht="15" hidden="false" customHeight="false" outlineLevel="0" collapsed="false">
      <c r="A11" s="14" t="s">
        <v>115</v>
      </c>
    </row>
    <row r="12" customFormat="false" ht="30" hidden="false" customHeight="true" outlineLevel="0" collapsed="false">
      <c r="A12" s="15" t="s">
        <v>116</v>
      </c>
    </row>
    <row r="13" customFormat="false" ht="30" hidden="false" customHeight="true" outlineLevel="0" collapsed="false">
      <c r="A13" s="15" t="s">
        <v>117</v>
      </c>
    </row>
    <row r="14" customFormat="false" ht="30" hidden="false" customHeight="true" outlineLevel="0" collapsed="false">
      <c r="A14" s="15" t="s">
        <v>118</v>
      </c>
    </row>
    <row r="15" customFormat="false" ht="30" hidden="false" customHeight="true" outlineLevel="0" collapsed="false">
      <c r="A15" s="15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2026-07-11T08:58:54Z</dcterms:created>
  <dc:creator>openpyxl</dc:creator>
  <dc:description/>
  <dc:language>en-US</dc:language>
  <cp:lastModifiedBy/>
  <dcterms:modified xsi:type="dcterms:W3CDTF">2026-07-11T08:58:54Z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