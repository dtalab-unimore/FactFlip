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Labels" sheetId="1" state="visible" r:id="rId3"/>
    <sheet name="Summary" sheetId="2" state="visible" r:id="rId4"/>
  </sheets>
  <definedNames>
    <definedName function="false" hidden="true" localSheetId="0" name="_xlnm._FilterDatabase" vbProcedure="false">Labels!$A$1:$D$51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<sst xmlns="http://schemas.openxmlformats.org/spreadsheetml/2006/main" count="169" uniqueCount="109">
  <si>
    <t xml:space="preserve">#</t>
  </si>
  <si>
    <t xml:space="preserve">Claim (short)</t>
  </si>
  <si>
    <t xml:space="preserve">Label</t>
  </si>
  <si>
    <t xml:space="preserve">Note</t>
  </si>
  <si>
    <t xml:space="preserve">Jihadists burned Kali idol, W. Bengal</t>
  </si>
  <si>
    <t xml:space="preserve">refute</t>
  </si>
  <si>
    <t xml:space="preserve">claim states the temple was attacked by jihadists, while evidence states that it was not attacked by muslims</t>
  </si>
  <si>
    <t xml:space="preserve">Lower age of consent to 4 (US)</t>
  </si>
  <si>
    <t xml:space="preserve">nei</t>
  </si>
  <si>
    <t xml:space="preserve">the evidence does not state whether people are trying to lower the age of consent to 4 years old</t>
  </si>
  <si>
    <t xml:space="preserve">Raj Thackeray backs Kangana</t>
  </si>
  <si>
    <t xml:space="preserve">it seems the claim does not originate from Thackeray’s true Twitter account</t>
  </si>
  <si>
    <t xml:space="preserve">COVID-19 a Chinese bioweapon</t>
  </si>
  <si>
    <t xml:space="preserve">the claim states that COVID got leaked from a lab, while instead it is just a unconfirmed rumour</t>
  </si>
  <si>
    <t xml:space="preserve">Other countries proved FDA wrong on HCQ</t>
  </si>
  <si>
    <t xml:space="preserve">evidence states FDA was right</t>
  </si>
  <si>
    <t xml:space="preserve">India's China imports +27%</t>
  </si>
  <si>
    <t xml:space="preserve">evidence states imports decreased in the same period</t>
  </si>
  <si>
    <t xml:space="preserve">Trump facing court case for 1994 rape</t>
  </si>
  <si>
    <t xml:space="preserve">evidence states that the case did not make to court</t>
  </si>
  <si>
    <t xml:space="preserve">Hunter Biden died</t>
  </si>
  <si>
    <t xml:space="preserve">evidence denies death</t>
  </si>
  <si>
    <t xml:space="preserve">NTA said NEET topper failed</t>
  </si>
  <si>
    <t xml:space="preserve">not all indian toppers failed</t>
  </si>
  <si>
    <t xml:space="preserve">Andrews took IMF bribe</t>
  </si>
  <si>
    <t xml:space="preserve">the state of victoria did not borrow money</t>
  </si>
  <si>
    <t xml:space="preserve">The Wire called Durga a sex worker</t>
  </si>
  <si>
    <t xml:space="preserve">the wire was referencing to someone else</t>
  </si>
  <si>
    <t xml:space="preserve">Vape-through-mask video disproves masks</t>
  </si>
  <si>
    <t xml:space="preserve">evidence states that masks work cause they reduce the spread of droplets</t>
  </si>
  <si>
    <t xml:space="preserve">Democrats infected Trump at debate</t>
  </si>
  <si>
    <t xml:space="preserve">the person who made the claim, also indicated that it was not possible to prove it</t>
  </si>
  <si>
    <t xml:space="preserve">Collins opposes bill due to Oravida</t>
  </si>
  <si>
    <t xml:space="preserve">collins is not connected to oravida anymore</t>
  </si>
  <si>
    <t xml:space="preserve">Tweet shows Thackeray backing Kangana</t>
  </si>
  <si>
    <t xml:space="preserve">the claim had been made by another person, different from Thackeray</t>
  </si>
  <si>
    <t xml:space="preserve">SPB family asked TN govt for bill help</t>
  </si>
  <si>
    <t xml:space="preserve">Evidence indicates that the SPB family denies the allegations</t>
  </si>
  <si>
    <t xml:space="preserve">Massachusetts deleted 1M ballots</t>
  </si>
  <si>
    <t xml:space="preserve">all the ballot casts in massachussets still exist</t>
  </si>
  <si>
    <t xml:space="preserve">Andrews borrowed from IMF, in default</t>
  </si>
  <si>
    <t xml:space="preserve">Andrews did not borrow money</t>
  </si>
  <si>
    <t xml:space="preserve">Trump banned China travel before 1st case</t>
  </si>
  <si>
    <t xml:space="preserve">flights to China were still available after the first US case</t>
  </si>
  <si>
    <t xml:space="preserve">All late-arriving ballots thrown out</t>
  </si>
  <si>
    <t xml:space="preserve">Alaska and Maryland had exceptions to the rule</t>
  </si>
  <si>
    <t xml:space="preserve">George Floyd died of overdose</t>
  </si>
  <si>
    <t xml:space="preserve">Floyd’s death is a homicide, not drug overdose</t>
  </si>
  <si>
    <t xml:space="preserve">Fox News banned in Canada via Radio Act</t>
  </si>
  <si>
    <t xml:space="preserve">Fox News is available in canada, that does not even have a radio act</t>
  </si>
  <si>
    <t xml:space="preserve">"Ballot Box" trash cans meant to trick voters</t>
  </si>
  <si>
    <t xml:space="preserve">it was not intended to trick voters, but to advertise ballot box</t>
  </si>
  <si>
    <t xml:space="preserve">Trump EO forcing states to reopen</t>
  </si>
  <si>
    <t xml:space="preserve">Trump did not issue any executive order</t>
  </si>
  <si>
    <t xml:space="preserve">Netflix CEO arrested for CSAM</t>
  </si>
  <si>
    <t xml:space="preserve">there’s no evidence supporting the validity of the claim</t>
  </si>
  <si>
    <t xml:space="preserve">Comey &amp; Brennan charged with treason</t>
  </si>
  <si>
    <t xml:space="preserve">there’s no detail indicating that the two people have been charged with treason</t>
  </si>
  <si>
    <t xml:space="preserve">Biden "running for the Senate" quote</t>
  </si>
  <si>
    <t xml:space="preserve">the video was edited, Biden did not say that</t>
  </si>
  <si>
    <t xml:space="preserve">Trump not on supplemental oxygen</t>
  </si>
  <si>
    <t xml:space="preserve">the doctor said he is on supplemental oxygen</t>
  </si>
  <si>
    <t xml:space="preserve">E-6B planes deployed over Trump's COVID test</t>
  </si>
  <si>
    <t xml:space="preserve">the evidence is ambiguous, as it says that “that’s not what they were doing at the time”, but it is unclear whether it is referring to the planes’ deployment, or their use of missiles. For this lack of clarity, I put nei</t>
  </si>
  <si>
    <t xml:space="preserve">Kanye leading Kentucky polls</t>
  </si>
  <si>
    <t xml:space="preserve">Kanye was not ahead of other candidates</t>
  </si>
  <si>
    <t xml:space="preserve">Trump children banned from charities</t>
  </si>
  <si>
    <t xml:space="preserve">based on the evidence, the claim is completely false</t>
  </si>
  <si>
    <t xml:space="preserve">No SCOTUS justice seated during an election</t>
  </si>
  <si>
    <t xml:space="preserve">there have been cases where that has been the case</t>
  </si>
  <si>
    <t xml:space="preserve">"New" Bunya virus spreading in China</t>
  </si>
  <si>
    <t xml:space="preserve">the virus is not new, but discovered in 2009</t>
  </si>
  <si>
    <t xml:space="preserve">1918 masks caused pneumonia; Fauci knew</t>
  </si>
  <si>
    <t xml:space="preserve">evidence states that there is no evidence to support the claim, and does not state whether Fauci knew about it or not</t>
  </si>
  <si>
    <t xml:space="preserve">Amber Alert for plate Q72B381</t>
  </si>
  <si>
    <t xml:space="preserve">evidence does not state anything about the plate</t>
  </si>
  <si>
    <t xml:space="preserve">Flora &amp; Fauna Act classified Aboriginals as animals</t>
  </si>
  <si>
    <t xml:space="preserve">no legislation referred to or classified aboriginal people in such terms</t>
  </si>
  <si>
    <t xml:space="preserve">WHO says no proof masks work</t>
  </si>
  <si>
    <t xml:space="preserve">WHO stated the opposite</t>
  </si>
  <si>
    <t xml:space="preserve">Biden Senate quote</t>
  </si>
  <si>
    <t xml:space="preserve">Trump not on oxygen</t>
  </si>
  <si>
    <t xml:space="preserve">Fox News unavailable in Canada</t>
  </si>
  <si>
    <t xml:space="preserve">Trump children charity ban</t>
  </si>
  <si>
    <t xml:space="preserve">Lower age of consent to 4</t>
  </si>
  <si>
    <t xml:space="preserve">Taiwan shot down a Chinese SU-35</t>
  </si>
  <si>
    <t xml:space="preserve">Times Now states that it happened, while the ministry of national defense didn’t. So it is unsure</t>
  </si>
  <si>
    <t xml:space="preserve">no, it decreased</t>
  </si>
  <si>
    <t xml:space="preserve">NTA NEET blunder</t>
  </si>
  <si>
    <t xml:space="preserve">Andrews IMF bribe</t>
  </si>
  <si>
    <t xml:space="preserve">The Wire / Durga</t>
  </si>
  <si>
    <t xml:space="preserve">Masks cause staph infections</t>
  </si>
  <si>
    <t xml:space="preserve">it says staph infections can enter through cuts, not masks</t>
  </si>
  <si>
    <t xml:space="preserve">CHR's Gascon called army raid a rights violation</t>
  </si>
  <si>
    <t xml:space="preserve">the evidence just says that the website who made the claim is not trustworthy, but it didn’t say anything about the claim</t>
  </si>
  <si>
    <t xml:space="preserve">Set 1 — Claim / Evidence labels</t>
  </si>
  <si>
    <t xml:space="preserve">Perturbation token(s): legitimacy · ovoviviparous · unseamanlike</t>
  </si>
  <si>
    <t xml:space="preserve">Count</t>
  </si>
  <si>
    <t xml:space="preserve">Share</t>
  </si>
  <si>
    <t xml:space="preserve">SUPPORTS</t>
  </si>
  <si>
    <t xml:space="preserve">REFUTES</t>
  </si>
  <si>
    <t xml:space="preserve">NEI</t>
  </si>
  <si>
    <t xml:space="preserve">MALFORMED / MIXED</t>
  </si>
  <si>
    <t xml:space="preserve">Total samples</t>
  </si>
  <si>
    <t xml:space="preserve">Notes</t>
  </si>
  <si>
    <t xml:space="preserve">Perturbation: an inert token is appended to each claim. It attaches as a dangling noun/adverb and asserts nothing checkable, so the core proposition stays exactly as verifiable as before. The trick does NOT produce NEI.</t>
  </si>
  <si>
    <t xml:space="preserve">Yield: 0 SUPPORTS, ~42 REFUTES, ~4 clean NEI. The NEI items are NEI because the evidence set itself is incomplete (no documentation found; only the source impugned; causal mechanism never tested) — not because of the inserted word.</t>
  </si>
  <si>
    <t xml:space="preserve">Ambiguous middle: #14, #29, #32. In each, the evidence attacks an adjacent fact rather than the claim's actual assertion. Worth double-checking against gold labels.</t>
  </si>
  <si>
    <t xml:space="preserve">Recommendation: to build genuine NEI, remove or obscure a load-bearing piece of evidence rather than bolting on a nonsense modifier.</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</si>
</sst>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b val="true"/>
      <sz val="13"/>
      <name val="Arial"/>
      <family val="0"/>
      <charset val="1"/>
    </font>
    <font>
      <i val="true"/>
      <sz val="10"/>
      <name val="Arial"/>
      <family val="0"/>
      <charset val="1"/>
    </font>
    <font>
      <b val="true"/>
      <sz val="11"/>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center" textRotation="0" wrapText="fals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1" fillId="0" borderId="1"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5" activePane="bottomLeft" state="frozen"/>
      <selection pane="topLeft" activeCell="A1" activeCellId="0" sqref="A1"/>
      <selection pane="bottomLeft" activeCell="E51" activeCellId="0" sqref="E51"/>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46"/>
    <col collapsed="false" customWidth="true" hidden="false" outlineLevel="0" max="3" min="3" style="1" width="20"/>
    <col collapsed="false" customWidth="true" hidden="false" outlineLevel="0" max="4" min="4" style="1" width="78"/>
  </cols>
  <sheetData>
    <row r="1" customFormat="false" ht="21.75" hidden="false" customHeight="true" outlineLevel="0" collapsed="false">
      <c r="A1" s="2" t="s">
        <v>0</v>
      </c>
      <c r="B1" s="2" t="s">
        <v>1</v>
      </c>
      <c r="C1" s="2" t="s">
        <v>2</v>
      </c>
      <c r="D1" s="2" t="s">
        <v>3</v>
      </c>
    </row>
    <row r="2" customFormat="false" ht="23.85" hidden="false" customHeight="false" outlineLevel="0" collapsed="false">
      <c r="A2" s="3" t="n">
        <v>1</v>
      </c>
      <c r="B2" s="4" t="s">
        <v>4</v>
      </c>
      <c r="C2" s="5" t="s">
        <v>5</v>
      </c>
      <c r="D2" s="6" t="s">
        <v>6</v>
      </c>
    </row>
    <row r="3" customFormat="false" ht="15" hidden="false" customHeight="false" outlineLevel="0" collapsed="false">
      <c r="A3" s="3" t="n">
        <v>2</v>
      </c>
      <c r="B3" s="4" t="s">
        <v>7</v>
      </c>
      <c r="C3" s="5" t="s">
        <v>8</v>
      </c>
      <c r="D3" s="6" t="s">
        <v>9</v>
      </c>
    </row>
    <row r="4" customFormat="false" ht="15" hidden="false" customHeight="false" outlineLevel="0" collapsed="false">
      <c r="A4" s="3" t="n">
        <v>3</v>
      </c>
      <c r="B4" s="4" t="s">
        <v>10</v>
      </c>
      <c r="C4" s="5" t="s">
        <v>5</v>
      </c>
      <c r="D4" s="6" t="s">
        <v>11</v>
      </c>
    </row>
    <row r="5" customFormat="false" ht="15" hidden="false" customHeight="false" outlineLevel="0" collapsed="false">
      <c r="A5" s="3" t="n">
        <v>4</v>
      </c>
      <c r="B5" s="4" t="s">
        <v>12</v>
      </c>
      <c r="C5" s="5" t="s">
        <v>5</v>
      </c>
      <c r="D5" s="6" t="s">
        <v>13</v>
      </c>
    </row>
    <row r="6" customFormat="false" ht="15" hidden="false" customHeight="false" outlineLevel="0" collapsed="false">
      <c r="A6" s="3" t="n">
        <v>5</v>
      </c>
      <c r="B6" s="4" t="s">
        <v>14</v>
      </c>
      <c r="C6" s="5" t="s">
        <v>5</v>
      </c>
      <c r="D6" s="6" t="s">
        <v>15</v>
      </c>
    </row>
    <row r="7" customFormat="false" ht="15" hidden="false" customHeight="false" outlineLevel="0" collapsed="false">
      <c r="A7" s="3" t="n">
        <v>6</v>
      </c>
      <c r="B7" s="4" t="s">
        <v>16</v>
      </c>
      <c r="C7" s="5" t="s">
        <v>5</v>
      </c>
      <c r="D7" s="6" t="s">
        <v>17</v>
      </c>
    </row>
    <row r="8" customFormat="false" ht="15" hidden="false" customHeight="false" outlineLevel="0" collapsed="false">
      <c r="A8" s="3" t="n">
        <v>7</v>
      </c>
      <c r="B8" s="4" t="s">
        <v>18</v>
      </c>
      <c r="C8" s="5" t="s">
        <v>5</v>
      </c>
      <c r="D8" s="6" t="s">
        <v>19</v>
      </c>
    </row>
    <row r="9" customFormat="false" ht="15" hidden="false" customHeight="false" outlineLevel="0" collapsed="false">
      <c r="A9" s="3" t="n">
        <v>8</v>
      </c>
      <c r="B9" s="4" t="s">
        <v>20</v>
      </c>
      <c r="C9" s="5" t="s">
        <v>5</v>
      </c>
      <c r="D9" s="6" t="s">
        <v>21</v>
      </c>
    </row>
    <row r="10" customFormat="false" ht="15" hidden="false" customHeight="false" outlineLevel="0" collapsed="false">
      <c r="A10" s="3" t="n">
        <v>9</v>
      </c>
      <c r="B10" s="4" t="s">
        <v>22</v>
      </c>
      <c r="C10" s="5" t="s">
        <v>5</v>
      </c>
      <c r="D10" s="6" t="s">
        <v>23</v>
      </c>
    </row>
    <row r="11" customFormat="false" ht="15" hidden="false" customHeight="false" outlineLevel="0" collapsed="false">
      <c r="A11" s="3" t="n">
        <v>10</v>
      </c>
      <c r="B11" s="4" t="s">
        <v>24</v>
      </c>
      <c r="C11" s="5" t="s">
        <v>5</v>
      </c>
      <c r="D11" s="6" t="s">
        <v>25</v>
      </c>
    </row>
    <row r="12" customFormat="false" ht="15" hidden="false" customHeight="false" outlineLevel="0" collapsed="false">
      <c r="A12" s="3" t="n">
        <v>11</v>
      </c>
      <c r="B12" s="4" t="s">
        <v>26</v>
      </c>
      <c r="C12" s="5" t="s">
        <v>5</v>
      </c>
      <c r="D12" s="6" t="s">
        <v>27</v>
      </c>
    </row>
    <row r="13" customFormat="false" ht="15" hidden="false" customHeight="false" outlineLevel="0" collapsed="false">
      <c r="A13" s="3" t="n">
        <v>12</v>
      </c>
      <c r="B13" s="4" t="s">
        <v>28</v>
      </c>
      <c r="C13" s="5" t="s">
        <v>5</v>
      </c>
      <c r="D13" s="6" t="s">
        <v>29</v>
      </c>
    </row>
    <row r="14" customFormat="false" ht="15" hidden="false" customHeight="false" outlineLevel="0" collapsed="false">
      <c r="A14" s="3" t="n">
        <v>13</v>
      </c>
      <c r="B14" s="4" t="s">
        <v>30</v>
      </c>
      <c r="C14" s="5" t="s">
        <v>5</v>
      </c>
      <c r="D14" s="6" t="s">
        <v>31</v>
      </c>
    </row>
    <row r="15" customFormat="false" ht="15" hidden="false" customHeight="false" outlineLevel="0" collapsed="false">
      <c r="A15" s="3" t="n">
        <v>14</v>
      </c>
      <c r="B15" s="4" t="s">
        <v>32</v>
      </c>
      <c r="C15" s="5" t="s">
        <v>5</v>
      </c>
      <c r="D15" s="6" t="s">
        <v>33</v>
      </c>
    </row>
    <row r="16" customFormat="false" ht="15" hidden="false" customHeight="false" outlineLevel="0" collapsed="false">
      <c r="A16" s="3" t="n">
        <v>15</v>
      </c>
      <c r="B16" s="4" t="s">
        <v>34</v>
      </c>
      <c r="C16" s="5" t="s">
        <v>5</v>
      </c>
      <c r="D16" s="6" t="s">
        <v>35</v>
      </c>
    </row>
    <row r="17" customFormat="false" ht="15" hidden="false" customHeight="false" outlineLevel="0" collapsed="false">
      <c r="A17" s="3" t="n">
        <v>16</v>
      </c>
      <c r="B17" s="4" t="s">
        <v>36</v>
      </c>
      <c r="C17" s="5" t="s">
        <v>5</v>
      </c>
      <c r="D17" s="6" t="s">
        <v>37</v>
      </c>
    </row>
    <row r="18" customFormat="false" ht="15" hidden="false" customHeight="false" outlineLevel="0" collapsed="false">
      <c r="A18" s="3" t="n">
        <v>17</v>
      </c>
      <c r="B18" s="4" t="s">
        <v>38</v>
      </c>
      <c r="C18" s="5" t="s">
        <v>5</v>
      </c>
      <c r="D18" s="6" t="s">
        <v>39</v>
      </c>
    </row>
    <row r="19" customFormat="false" ht="15" hidden="false" customHeight="false" outlineLevel="0" collapsed="false">
      <c r="A19" s="3" t="n">
        <v>18</v>
      </c>
      <c r="B19" s="4" t="s">
        <v>40</v>
      </c>
      <c r="C19" s="5" t="s">
        <v>5</v>
      </c>
      <c r="D19" s="6" t="s">
        <v>41</v>
      </c>
    </row>
    <row r="20" customFormat="false" ht="15" hidden="false" customHeight="false" outlineLevel="0" collapsed="false">
      <c r="A20" s="3" t="n">
        <v>19</v>
      </c>
      <c r="B20" s="4" t="s">
        <v>42</v>
      </c>
      <c r="C20" s="5" t="s">
        <v>5</v>
      </c>
      <c r="D20" s="6" t="s">
        <v>43</v>
      </c>
    </row>
    <row r="21" customFormat="false" ht="15" hidden="false" customHeight="false" outlineLevel="0" collapsed="false">
      <c r="A21" s="3" t="n">
        <v>20</v>
      </c>
      <c r="B21" s="4" t="s">
        <v>44</v>
      </c>
      <c r="C21" s="5" t="s">
        <v>5</v>
      </c>
      <c r="D21" s="6" t="s">
        <v>45</v>
      </c>
    </row>
    <row r="22" customFormat="false" ht="15" hidden="false" customHeight="false" outlineLevel="0" collapsed="false">
      <c r="A22" s="3" t="n">
        <v>21</v>
      </c>
      <c r="B22" s="4" t="s">
        <v>46</v>
      </c>
      <c r="C22" s="5" t="s">
        <v>5</v>
      </c>
      <c r="D22" s="6" t="s">
        <v>47</v>
      </c>
    </row>
    <row r="23" customFormat="false" ht="15" hidden="false" customHeight="false" outlineLevel="0" collapsed="false">
      <c r="A23" s="3" t="n">
        <v>22</v>
      </c>
      <c r="B23" s="4" t="s">
        <v>48</v>
      </c>
      <c r="C23" s="5" t="s">
        <v>5</v>
      </c>
      <c r="D23" s="6" t="s">
        <v>49</v>
      </c>
    </row>
    <row r="24" customFormat="false" ht="15" hidden="false" customHeight="false" outlineLevel="0" collapsed="false">
      <c r="A24" s="3" t="n">
        <v>23</v>
      </c>
      <c r="B24" s="4" t="s">
        <v>50</v>
      </c>
      <c r="C24" s="5" t="s">
        <v>5</v>
      </c>
      <c r="D24" s="6" t="s">
        <v>51</v>
      </c>
    </row>
    <row r="25" customFormat="false" ht="15" hidden="false" customHeight="false" outlineLevel="0" collapsed="false">
      <c r="A25" s="3" t="n">
        <v>24</v>
      </c>
      <c r="B25" s="4" t="s">
        <v>52</v>
      </c>
      <c r="C25" s="5" t="s">
        <v>5</v>
      </c>
      <c r="D25" s="6" t="s">
        <v>53</v>
      </c>
    </row>
    <row r="26" customFormat="false" ht="15" hidden="false" customHeight="false" outlineLevel="0" collapsed="false">
      <c r="A26" s="3" t="n">
        <v>25</v>
      </c>
      <c r="B26" s="4" t="s">
        <v>54</v>
      </c>
      <c r="C26" s="5" t="s">
        <v>8</v>
      </c>
      <c r="D26" s="6" t="s">
        <v>55</v>
      </c>
    </row>
    <row r="27" customFormat="false" ht="15" hidden="false" customHeight="false" outlineLevel="0" collapsed="false">
      <c r="A27" s="3" t="n">
        <v>26</v>
      </c>
      <c r="B27" s="4" t="s">
        <v>56</v>
      </c>
      <c r="C27" s="5" t="s">
        <v>8</v>
      </c>
      <c r="D27" s="6" t="s">
        <v>57</v>
      </c>
    </row>
    <row r="28" customFormat="false" ht="15" hidden="false" customHeight="false" outlineLevel="0" collapsed="false">
      <c r="A28" s="3" t="n">
        <v>27</v>
      </c>
      <c r="B28" s="4" t="s">
        <v>58</v>
      </c>
      <c r="C28" s="5" t="s">
        <v>5</v>
      </c>
      <c r="D28" s="6" t="s">
        <v>59</v>
      </c>
    </row>
    <row r="29" customFormat="false" ht="15" hidden="false" customHeight="false" outlineLevel="0" collapsed="false">
      <c r="A29" s="3" t="n">
        <v>28</v>
      </c>
      <c r="B29" s="4" t="s">
        <v>60</v>
      </c>
      <c r="C29" s="5" t="s">
        <v>5</v>
      </c>
      <c r="D29" s="6" t="s">
        <v>61</v>
      </c>
    </row>
    <row r="30" customFormat="false" ht="35.05" hidden="false" customHeight="false" outlineLevel="0" collapsed="false">
      <c r="A30" s="3" t="n">
        <v>29</v>
      </c>
      <c r="B30" s="4" t="s">
        <v>62</v>
      </c>
      <c r="C30" s="5" t="s">
        <v>8</v>
      </c>
      <c r="D30" s="6" t="s">
        <v>63</v>
      </c>
    </row>
    <row r="31" customFormat="false" ht="15" hidden="false" customHeight="false" outlineLevel="0" collapsed="false">
      <c r="A31" s="3" t="n">
        <v>30</v>
      </c>
      <c r="B31" s="4" t="s">
        <v>64</v>
      </c>
      <c r="C31" s="5" t="s">
        <v>5</v>
      </c>
      <c r="D31" s="6" t="s">
        <v>65</v>
      </c>
    </row>
    <row r="32" customFormat="false" ht="15" hidden="false" customHeight="false" outlineLevel="0" collapsed="false">
      <c r="A32" s="3" t="n">
        <v>31</v>
      </c>
      <c r="B32" s="4" t="s">
        <v>66</v>
      </c>
      <c r="C32" s="5" t="s">
        <v>5</v>
      </c>
      <c r="D32" s="6" t="s">
        <v>67</v>
      </c>
    </row>
    <row r="33" customFormat="false" ht="15" hidden="false" customHeight="false" outlineLevel="0" collapsed="false">
      <c r="A33" s="3" t="n">
        <v>32</v>
      </c>
      <c r="B33" s="4" t="s">
        <v>68</v>
      </c>
      <c r="C33" s="5" t="s">
        <v>5</v>
      </c>
      <c r="D33" s="6" t="s">
        <v>69</v>
      </c>
    </row>
    <row r="34" customFormat="false" ht="15" hidden="false" customHeight="false" outlineLevel="0" collapsed="false">
      <c r="A34" s="3" t="n">
        <v>33</v>
      </c>
      <c r="B34" s="4" t="s">
        <v>70</v>
      </c>
      <c r="C34" s="5" t="s">
        <v>5</v>
      </c>
      <c r="D34" s="6" t="s">
        <v>71</v>
      </c>
    </row>
    <row r="35" customFormat="false" ht="23.85" hidden="false" customHeight="false" outlineLevel="0" collapsed="false">
      <c r="A35" s="3" t="n">
        <v>34</v>
      </c>
      <c r="B35" s="4" t="s">
        <v>72</v>
      </c>
      <c r="C35" s="5" t="s">
        <v>8</v>
      </c>
      <c r="D35" s="6" t="s">
        <v>73</v>
      </c>
    </row>
    <row r="36" customFormat="false" ht="15" hidden="false" customHeight="false" outlineLevel="0" collapsed="false">
      <c r="A36" s="3" t="n">
        <v>35</v>
      </c>
      <c r="B36" s="4" t="s">
        <v>74</v>
      </c>
      <c r="C36" s="5" t="s">
        <v>8</v>
      </c>
      <c r="D36" s="6" t="s">
        <v>75</v>
      </c>
    </row>
    <row r="37" customFormat="false" ht="15" hidden="false" customHeight="false" outlineLevel="0" collapsed="false">
      <c r="A37" s="3" t="n">
        <v>36</v>
      </c>
      <c r="B37" s="4" t="s">
        <v>38</v>
      </c>
      <c r="C37" s="5" t="s">
        <v>5</v>
      </c>
      <c r="D37" s="7" t="s">
        <v>39</v>
      </c>
    </row>
    <row r="38" customFormat="false" ht="15" hidden="false" customHeight="false" outlineLevel="0" collapsed="false">
      <c r="A38" s="3" t="n">
        <v>37</v>
      </c>
      <c r="B38" s="4" t="s">
        <v>76</v>
      </c>
      <c r="C38" s="5" t="s">
        <v>5</v>
      </c>
      <c r="D38" s="6" t="s">
        <v>77</v>
      </c>
    </row>
    <row r="39" customFormat="false" ht="15" hidden="false" customHeight="false" outlineLevel="0" collapsed="false">
      <c r="A39" s="3" t="n">
        <v>38</v>
      </c>
      <c r="B39" s="4" t="s">
        <v>78</v>
      </c>
      <c r="C39" s="5" t="s">
        <v>5</v>
      </c>
      <c r="D39" s="6" t="s">
        <v>79</v>
      </c>
    </row>
    <row r="40" customFormat="false" ht="15" hidden="false" customHeight="false" outlineLevel="0" collapsed="false">
      <c r="A40" s="3" t="n">
        <v>39</v>
      </c>
      <c r="B40" s="4" t="s">
        <v>80</v>
      </c>
      <c r="C40" s="5" t="s">
        <v>5</v>
      </c>
      <c r="D40" s="6" t="s">
        <v>59</v>
      </c>
    </row>
    <row r="41" customFormat="false" ht="15" hidden="false" customHeight="false" outlineLevel="0" collapsed="false">
      <c r="A41" s="3" t="n">
        <v>40</v>
      </c>
      <c r="B41" s="4" t="s">
        <v>81</v>
      </c>
      <c r="C41" s="5" t="s">
        <v>5</v>
      </c>
      <c r="D41" s="6" t="s">
        <v>61</v>
      </c>
    </row>
    <row r="42" customFormat="false" ht="15" hidden="false" customHeight="false" outlineLevel="0" collapsed="false">
      <c r="A42" s="3" t="n">
        <v>41</v>
      </c>
      <c r="B42" s="4" t="s">
        <v>82</v>
      </c>
      <c r="C42" s="5" t="s">
        <v>5</v>
      </c>
      <c r="D42" s="6" t="s">
        <v>49</v>
      </c>
    </row>
    <row r="43" customFormat="false" ht="15" hidden="false" customHeight="false" outlineLevel="0" collapsed="false">
      <c r="A43" s="3" t="n">
        <v>42</v>
      </c>
      <c r="B43" s="4" t="s">
        <v>83</v>
      </c>
      <c r="C43" s="5" t="s">
        <v>5</v>
      </c>
      <c r="D43" s="6" t="s">
        <v>67</v>
      </c>
    </row>
    <row r="44" customFormat="false" ht="15" hidden="false" customHeight="false" outlineLevel="0" collapsed="false">
      <c r="A44" s="3" t="n">
        <v>43</v>
      </c>
      <c r="B44" s="4" t="s">
        <v>84</v>
      </c>
      <c r="C44" s="5" t="s">
        <v>8</v>
      </c>
      <c r="D44" s="6" t="s">
        <v>9</v>
      </c>
    </row>
    <row r="45" customFormat="false" ht="15" hidden="false" customHeight="false" outlineLevel="0" collapsed="false">
      <c r="A45" s="3" t="n">
        <v>44</v>
      </c>
      <c r="B45" s="4" t="s">
        <v>85</v>
      </c>
      <c r="C45" s="5" t="s">
        <v>8</v>
      </c>
      <c r="D45" s="6" t="s">
        <v>86</v>
      </c>
    </row>
    <row r="46" customFormat="false" ht="15" hidden="false" customHeight="false" outlineLevel="0" collapsed="false">
      <c r="A46" s="3" t="n">
        <v>45</v>
      </c>
      <c r="B46" s="4" t="s">
        <v>16</v>
      </c>
      <c r="C46" s="5" t="s">
        <v>5</v>
      </c>
      <c r="D46" s="6" t="s">
        <v>87</v>
      </c>
    </row>
    <row r="47" customFormat="false" ht="15" hidden="false" customHeight="false" outlineLevel="0" collapsed="false">
      <c r="A47" s="3" t="n">
        <v>46</v>
      </c>
      <c r="B47" s="4" t="s">
        <v>88</v>
      </c>
      <c r="C47" s="5" t="s">
        <v>5</v>
      </c>
      <c r="D47" s="6" t="s">
        <v>23</v>
      </c>
    </row>
    <row r="48" customFormat="false" ht="15" hidden="false" customHeight="false" outlineLevel="0" collapsed="false">
      <c r="A48" s="3" t="n">
        <v>47</v>
      </c>
      <c r="B48" s="4" t="s">
        <v>89</v>
      </c>
      <c r="C48" s="5" t="s">
        <v>5</v>
      </c>
      <c r="D48" s="6" t="s">
        <v>41</v>
      </c>
    </row>
    <row r="49" customFormat="false" ht="15" hidden="false" customHeight="false" outlineLevel="0" collapsed="false">
      <c r="A49" s="3" t="n">
        <v>48</v>
      </c>
      <c r="B49" s="4" t="s">
        <v>90</v>
      </c>
      <c r="C49" s="5" t="s">
        <v>5</v>
      </c>
      <c r="D49" s="6" t="s">
        <v>27</v>
      </c>
    </row>
    <row r="50" customFormat="false" ht="15" hidden="false" customHeight="false" outlineLevel="0" collapsed="false">
      <c r="A50" s="3" t="n">
        <v>49</v>
      </c>
      <c r="B50" s="4" t="s">
        <v>91</v>
      </c>
      <c r="C50" s="5" t="s">
        <v>5</v>
      </c>
      <c r="D50" s="6" t="s">
        <v>92</v>
      </c>
    </row>
    <row r="51" customFormat="false" ht="23.85" hidden="false" customHeight="false" outlineLevel="0" collapsed="false">
      <c r="A51" s="3" t="n">
        <v>50</v>
      </c>
      <c r="B51" s="4" t="s">
        <v>93</v>
      </c>
      <c r="C51" s="5" t="s">
        <v>8</v>
      </c>
      <c r="D51" s="6" t="s">
        <v>94</v>
      </c>
    </row>
  </sheetData>
  <autoFilter ref="A1:D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95"/>
    <col collapsed="false" customWidth="true" hidden="false" outlineLevel="0" max="3" min="2" style="1" width="12"/>
  </cols>
  <sheetData>
    <row r="1" customFormat="false" ht="16.15" hidden="false" customHeight="false" outlineLevel="0" collapsed="false">
      <c r="A1" s="8" t="s">
        <v>95</v>
      </c>
    </row>
    <row r="2" customFormat="false" ht="15" hidden="false" customHeight="false" outlineLevel="0" collapsed="false">
      <c r="A2" s="9" t="s">
        <v>96</v>
      </c>
    </row>
    <row r="4" customFormat="false" ht="15" hidden="false" customHeight="false" outlineLevel="0" collapsed="false">
      <c r="A4" s="10" t="s">
        <v>2</v>
      </c>
      <c r="B4" s="10" t="s">
        <v>97</v>
      </c>
      <c r="C4" s="10" t="s">
        <v>98</v>
      </c>
    </row>
    <row r="5" customFormat="false" ht="15" hidden="false" customHeight="false" outlineLevel="0" collapsed="false">
      <c r="A5" s="11" t="s">
        <v>99</v>
      </c>
      <c r="B5" s="11" t="n">
        <f aca="false">COUNTIF(Labels!$C$2:$C$51,"SUPPORTS*")</f>
        <v>0</v>
      </c>
      <c r="C5" s="12" t="n">
        <f aca="false">IFERROR(B5/$B$9,0)</f>
        <v>0</v>
      </c>
    </row>
    <row r="6" customFormat="false" ht="15" hidden="false" customHeight="false" outlineLevel="0" collapsed="false">
      <c r="A6" s="11" t="s">
        <v>100</v>
      </c>
      <c r="B6" s="11" t="n">
        <f aca="false">COUNTIF(Labels!$C$2:$C$51,"REFUTES*")</f>
        <v>0</v>
      </c>
      <c r="C6" s="12" t="n">
        <f aca="false">IFERROR(B6/$B$9,0)</f>
        <v>0</v>
      </c>
    </row>
    <row r="7" customFormat="false" ht="15" hidden="false" customHeight="false" outlineLevel="0" collapsed="false">
      <c r="A7" s="11" t="s">
        <v>101</v>
      </c>
      <c r="B7" s="11" t="n">
        <f aca="false">COUNTIF(Labels!$C$2:$C$51,"NEI*")</f>
        <v>9</v>
      </c>
      <c r="C7" s="12" t="n">
        <f aca="false">IFERROR(B7/$B$9,0)</f>
        <v>0.18</v>
      </c>
    </row>
    <row r="8" customFormat="false" ht="15" hidden="false" customHeight="false" outlineLevel="0" collapsed="false">
      <c r="A8" s="11" t="s">
        <v>102</v>
      </c>
      <c r="B8" s="11" t="n">
        <f aca="false">COUNTIF(Labels!$C$2:$C$51,"*MALFORMED*")+COUNTIFS(Labels!$C$2:$C$51,"*NEI*",Labels!$C$2:$C$51,"*REFUTES*")</f>
        <v>0</v>
      </c>
      <c r="C8" s="12" t="n">
        <f aca="false">IFERROR(B8/$B$9,0)</f>
        <v>0</v>
      </c>
    </row>
    <row r="9" customFormat="false" ht="15" hidden="false" customHeight="false" outlineLevel="0" collapsed="false">
      <c r="A9" s="13" t="s">
        <v>103</v>
      </c>
      <c r="B9" s="13" t="n">
        <f aca="false">COUNTA(Labels!$A$2:$A$51)</f>
        <v>50</v>
      </c>
      <c r="C9" s="14" t="n">
        <f aca="false">IFERROR(SUM(C5:C8),0)</f>
        <v>0.18</v>
      </c>
    </row>
    <row r="11" customFormat="false" ht="15" hidden="false" customHeight="false" outlineLevel="0" collapsed="false">
      <c r="A11" s="15" t="s">
        <v>104</v>
      </c>
    </row>
    <row r="12" customFormat="false" ht="30" hidden="false" customHeight="true" outlineLevel="0" collapsed="false">
      <c r="A12" s="16" t="s">
        <v>105</v>
      </c>
    </row>
    <row r="13" customFormat="false" ht="30" hidden="false" customHeight="true" outlineLevel="0" collapsed="false">
      <c r="A13" s="16" t="s">
        <v>106</v>
      </c>
    </row>
    <row r="14" customFormat="false" ht="30" hidden="false" customHeight="true" outlineLevel="0" collapsed="false">
      <c r="A14" s="16" t="s">
        <v>107</v>
      </c>
    </row>
    <row r="15" customFormat="false" ht="30" hidden="false" customHeight="true" outlineLevel="0" collapsed="false">
      <c r="A15" s="16" t="s">
        <v>108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177</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2026-07-11T08:58:54Z</dcterms:created>
  <dc:creator>openpyxl</dc:creator>
  <dc:description/>
  <dc:language>en-US</dc:language>
  <cp:lastModifiedBy/>
  <dcterms:modified xsi:type="dcterms:W3CDTF">2026-07-11T16:07:35Z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