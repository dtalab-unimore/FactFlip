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els" sheetId="1" state="visible" r:id="rId3"/>
    <sheet name="Summary" sheetId="2" state="visible" r:id="rId4"/>
  </sheets>
  <definedNames>
    <definedName function="false" hidden="true" localSheetId="0" name="_xlnm._FilterDatabase" vbProcedure="false">Labels!$A$1:$D$52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<sst xmlns="http://schemas.openxmlformats.org/spreadsheetml/2006/main" count="175" uniqueCount="124">
  <si>
    <t xml:space="preserve">#</t>
  </si>
  <si>
    <t xml:space="preserve">Claim (short)</t>
  </si>
  <si>
    <t xml:space="preserve">Label</t>
  </si>
  <si>
    <t xml:space="preserve">Note</t>
  </si>
  <si>
    <t xml:space="preserve">"Kim Martin Morrow" is Netflix CEO, charged</t>
  </si>
  <si>
    <t xml:space="preserve">REFUTES</t>
  </si>
  <si>
    <t xml:space="preserve">Netflix CEO was Reed Hastings; the named person does not exist.</t>
  </si>
  <si>
    <t xml:space="preserve">Haldiram's products banned in USA</t>
  </si>
  <si>
    <t xml:space="preserve">FDA never banned them; products still on sale in the US.</t>
  </si>
  <si>
    <t xml:space="preserve">NJ deceased-parents ballots = voter fraud</t>
  </si>
  <si>
    <t xml:space="preserve">Evidence calls the inference "misleading"; error is not fraud unless voted.</t>
  </si>
  <si>
    <t xml:space="preserve">Comey &amp; Brennan charged with treason</t>
  </si>
  <si>
    <t xml:space="preserve">No such charges on the DOJ site.</t>
  </si>
  <si>
    <t xml:space="preserve">Massachusetts deleted 1M ballots</t>
  </si>
  <si>
    <t xml:space="preserve">All ballots still exist.</t>
  </si>
  <si>
    <t xml:space="preserve">Maas said Thai king did nothing illegal</t>
  </si>
  <si>
    <t xml:space="preserve">Direct "No"; Maas in fact warned against politics from German soil.</t>
  </si>
  <si>
    <t xml:space="preserve">UK £500-per-week isolation payment</t>
  </si>
  <si>
    <t xml:space="preserve">Direct "No" — the real scheme was a one-off £500.</t>
  </si>
  <si>
    <t xml:space="preserve">RBG confirmed 43 days before an election</t>
  </si>
  <si>
    <t xml:space="preserve">Confirmed Aug 1993; no election 43 days later.</t>
  </si>
  <si>
    <t xml:space="preserve">NTA said NEET topper failed</t>
  </si>
  <si>
    <t xml:space="preserve">NTA press release calls it fabricated.</t>
  </si>
  <si>
    <t xml:space="preserve">Trump said "we have built 300 miles of wall"</t>
  </si>
  <si>
    <t xml:space="preserve">REFUTES (caveat)</t>
  </si>
  <si>
    <t xml:space="preserve">Rebuts the SUBSTANCE (654 to 657 miles of new barrier), not whether he said it.</t>
  </si>
  <si>
    <t xml:space="preserve">Muslim hooligans burned Kali idol</t>
  </si>
  <si>
    <t xml:space="preserve">Temple committee: accidental fire, no foul play, no FIR filed.</t>
  </si>
  <si>
    <t xml:space="preserve">"New" Bunya virus in China</t>
  </si>
  <si>
    <t xml:space="preserve">SFTS identified in 2009 — not new (the spread itself is accurate).</t>
  </si>
  <si>
    <t xml:space="preserve">MA: anyone can vote, no IDs checked</t>
  </si>
  <si>
    <t xml:space="preserve">MIXED — "no photo ID required" is TRUE; "anybody can vote for anybody" is false and illegal.</t>
  </si>
  <si>
    <t xml:space="preserve">DC ballots to previous tenants = fraud</t>
  </si>
  <si>
    <t xml:space="preserve">NEI</t>
  </si>
  <si>
    <t xml:space="preserve">Evidence answers "Possibly"; never resolves whether fraud results.</t>
  </si>
  <si>
    <t xml:space="preserve">A child died in Germany from wearing a mask</t>
  </si>
  <si>
    <t xml:space="preserve">Lower Franconia Police publicly labelled it a hoax.</t>
  </si>
  <si>
    <t xml:space="preserve">Fauci's 2008 paper blamed masks</t>
  </si>
  <si>
    <t xml:space="preserve">Paper found bacterial pneumonia; it never mentions masks.</t>
  </si>
  <si>
    <t xml:space="preserve">Zimbabwe case before 20 Feb 2020</t>
  </si>
  <si>
    <t xml:space="preserve">20 Feb statement: suspected case negative, country still COVID-free.</t>
  </si>
  <si>
    <t xml:space="preserve">CHR's Gascon "human rights" quote</t>
  </si>
  <si>
    <t xml:space="preserve">Evidence only impugns the source website; the quote itself is never checked.</t>
  </si>
  <si>
    <t xml:space="preserve">No SCOTUS justice seated mid-election</t>
  </si>
  <si>
    <t xml:space="preserve">REFUTES / NEI</t>
  </si>
  <si>
    <t xml:space="preserve">Five seated in reelection years — but all confirmed BEFORE voting began.</t>
  </si>
  <si>
    <t xml:space="preserve">Mukesh Khanna called for Bachchan boycott</t>
  </si>
  <si>
    <t xml:space="preserve">@Real_Khanna1 is not his handle.</t>
  </si>
  <si>
    <t xml:space="preserve">Weiner laptop proved Clinton trafficking</t>
  </si>
  <si>
    <t xml:space="preserve">FBI probe closed with regard to Clinton; no charges.</t>
  </si>
  <si>
    <t xml:space="preserve">Trump EO forcing states to reopen</t>
  </si>
  <si>
    <t xml:space="preserve">No such EO in the Federal Register; no such presidential authority.</t>
  </si>
  <si>
    <t xml:space="preserve">Biden "running for the Senate" quote</t>
  </si>
  <si>
    <t xml:space="preserve">Deceptively clipped mid-sentence; rated Mostly False.</t>
  </si>
  <si>
    <t xml:space="preserve">Free smartphones to all Indian students</t>
  </si>
  <si>
    <t xml:space="preserve">Direct "No"; the link points to a blogspot page.</t>
  </si>
  <si>
    <t xml:space="preserve">Reed Hastings arrested for CSAM</t>
  </si>
  <si>
    <t xml:space="preserve">No evidence or reporting exists — decisive for an arrest of this profile.</t>
  </si>
  <si>
    <t xml:space="preserve">Kanye ahead in Kentucky polls</t>
  </si>
  <si>
    <t xml:space="preserve">Not on the KY ballot; never ahead anywhere.</t>
  </si>
  <si>
    <t xml:space="preserve">Usmani installed Jinnah portrait at AMU</t>
  </si>
  <si>
    <t xml:space="preserve">The portrait has hung for decades; he did not install it.</t>
  </si>
  <si>
    <t xml:space="preserve">Pizzagate</t>
  </si>
  <si>
    <t xml:space="preserve">Widely discredited; the owner denies it unequivocally.</t>
  </si>
  <si>
    <t xml:space="preserve">Pakistani MPs chanted "Modi"</t>
  </si>
  <si>
    <t xml:space="preserve">Dawn's record of proceedings has them shouting "voting, voting".</t>
  </si>
  <si>
    <t xml:space="preserve">1918 masks caused pneumonia; Fauci knew</t>
  </si>
  <si>
    <t xml:space="preserve">NIAID: the 2008 study "had nothing to do with masks".</t>
  </si>
  <si>
    <t xml:space="preserve">CDC pads its COVID death tally</t>
  </si>
  <si>
    <t xml:space="preserve">Evidence says deaths are likely UNDER-counted, not inflated.</t>
  </si>
  <si>
    <t xml:space="preserve">Obama-Biden secretly surveilled Trump campaign</t>
  </si>
  <si>
    <t xml:space="preserve">Surveillance existed, but no investigation found Obama initiated or meddled in it.</t>
  </si>
  <si>
    <t xml:space="preserve">NM deceased grandfather = widespread fraud</t>
  </si>
  <si>
    <t xml:space="preserve">Automatic mailing came from a 2020 Senate Bill; fraud is rare and heavily penalised.</t>
  </si>
  <si>
    <t xml:space="preserve">Minneapolis City Council defunded the police</t>
  </si>
  <si>
    <t xml:space="preserve">Direct "No".</t>
  </si>
  <si>
    <t xml:space="preserve">$10,000 ACA penalty for the uninsured</t>
  </si>
  <si>
    <t xml:space="preserve">No individual-mandate penalty from 2019 onward.</t>
  </si>
  <si>
    <t xml:space="preserve">"False FB posts claim VP demanded billions"</t>
  </si>
  <si>
    <t xml:space="preserve">MALFORMED</t>
  </si>
  <si>
    <t xml:space="preserve">Claim is the FACT-CHECKER'S HEADLINE, so the evidence (720m pesos = $14.8m) actually SUPPORTS it. Strip the "False posts claim" wrapper.</t>
  </si>
  <si>
    <t xml:space="preserve">Pennsylvania rejected 372,000 mail ballots</t>
  </si>
  <si>
    <t xml:space="preserve">Matt Gaetz part of $75m hospice-fraud firm</t>
  </si>
  <si>
    <t xml:space="preserve">Chemed fraud confirmed, but "no answer could be found" on Matt Gaetz's own involvement — the load-bearing link is missing.</t>
  </si>
  <si>
    <t xml:space="preserve">Congressman introduced bill to remove Pelosi</t>
  </si>
  <si>
    <t xml:space="preserve">H. Res. 620 was a non-binding simple resolution, not a bill.</t>
  </si>
  <si>
    <t xml:space="preserve">NJ Mercer County ballots (dup of 3)</t>
  </si>
  <si>
    <t xml:space="preserve">Same as #3.</t>
  </si>
  <si>
    <t xml:space="preserve">Bill Gates helped craft the TRACE Act</t>
  </si>
  <si>
    <t xml:space="preserve">The bill does not mention him.</t>
  </si>
  <si>
    <t xml:space="preserve">Hunter Biden has died</t>
  </si>
  <si>
    <t xml:space="preserve">He is not dead.</t>
  </si>
  <si>
    <t xml:space="preserve">Comey &amp; Brennan (dup of 4)</t>
  </si>
  <si>
    <t xml:space="preserve">Same as #4.</t>
  </si>
  <si>
    <t xml:space="preserve">Massachusetts ballots (dup of 5)</t>
  </si>
  <si>
    <t xml:space="preserve">Same as #5.</t>
  </si>
  <si>
    <t xml:space="preserve">Raina withdrew from IPL after positive test</t>
  </si>
  <si>
    <t xml:space="preserve">Trump currently faces 13-y-o assault case</t>
  </si>
  <si>
    <t xml:space="preserve">No court appearance on his 14 Oct schedule (an accusation existed; a current case did not).</t>
  </si>
  <si>
    <t xml:space="preserve">Kali idol (dup of 11)</t>
  </si>
  <si>
    <t xml:space="preserve">Same as #11.</t>
  </si>
  <si>
    <t xml:space="preserve">Rhea Chakraborty's father's tweet</t>
  </si>
  <si>
    <t xml:space="preserve">The tweet was not made by him.</t>
  </si>
  <si>
    <t xml:space="preserve">All late-arriving ballots thrown out</t>
  </si>
  <si>
    <t xml:space="preserve">Extensions existed (AK, MD accepted through Nov 13).</t>
  </si>
  <si>
    <t xml:space="preserve">Andrews took a multi-million IMF bribe</t>
  </si>
  <si>
    <t xml:space="preserve">Victoria never borrowed from the IMF.</t>
  </si>
  <si>
    <t xml:space="preserve">Wildfires do not affect Mexico and Canada</t>
  </si>
  <si>
    <t xml:space="preserve">Active fires documented in both (British Columbia; northern Mexico).</t>
  </si>
  <si>
    <t xml:space="preserve">Set 3 — Claim / Evidence labels</t>
  </si>
  <si>
    <t xml:space="preserve">Perturbation token(s): insecureness · middle-class</t>
  </si>
  <si>
    <t xml:space="preserve">Count</t>
  </si>
  <si>
    <t xml:space="preserve">Share</t>
  </si>
  <si>
    <t xml:space="preserve">SUPPORTS</t>
  </si>
  <si>
    <t xml:space="preserve">MALFORMED / MIXED</t>
  </si>
  <si>
    <t xml:space="preserve">Total samples</t>
  </si>
  <si>
    <t xml:space="preserve">Notes</t>
  </si>
  <si>
    <t xml:space="preserve">CORE PROBLEM: this batch is almost entirely already-FALSE claims, so the perturbation is logically incapable of producing NEI.</t>
  </si>
  <si>
    <t xml:space="preserve">Conjunction logic — append an unverifiable conjunct to a SUPPORTED claim and the whole becomes unverifiable (NEI). Append it to a REFUTED claim and one conjunct is still demonstrably false, so the whole stays false (REFUTES).</t>
  </si>
  <si>
    <t xml:space="preserve">Batch 2 worked (~24 NEI) because it was full of SUPPORTS samples. This batch is ~48/51 REFUTES, so the tokens have nothing to bite on. Net yield: roughly ONE genuine NEI out of 51.</t>
  </si>
  <si>
    <t xml:space="preserve">"middle-class" behaves differently from the earlier tokens — it attaches as a real attributive modifier and does assert something unverified. It still does not help, for the reason above.</t>
  </si>
  <si>
    <t xml:space="preserve">INCONSISTENT — #3 vs #14: structurally identical claims (erroneous mail ballots to fraud), but #3's evidence says flatly "This is misleading" while #14's says "Possibly". Same claim type, different labels. Pick one.</t>
  </si>
  <si>
    <t xml:space="preserve">MIXED — #13: the "no photo ID" half is confirmed while the "anybody can vote" half is refuted. Partial-support cases like this are worth splitting or excluding.</t>
  </si>
  <si>
    <t xml:space="preserve">To get NEI from this batch you need SUPPORTS-labelled source claims to perturb. Alternatively do what #38 does by accident: keep all evidence on-topic but have the one settling Q&amp;A return "No answer could be found". That is a hard NEI a model cannot shortcut.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</si>
</sst>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C"/>
        <bgColor rgb="FFE7E6E6"/>
      </patternFill>
    </fill>
    <fill>
      <patternFill patternType="solid">
        <fgColor rgb="FFFFF2CC"/>
        <bgColor rgb="FFFCE4EC"/>
      </patternFill>
    </fill>
    <fill>
      <patternFill patternType="solid">
        <fgColor rgb="FFE7E6E6"/>
        <bgColor rgb="FFFCE4EC"/>
      </patternFill>
    </fill>
    <fill>
      <patternFill patternType="solid">
        <fgColor rgb="FFD9D2E9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78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3" t="s">
        <v>4</v>
      </c>
      <c r="C2" s="4" t="s">
        <v>5</v>
      </c>
      <c r="D2" s="3" t="s">
        <v>6</v>
      </c>
    </row>
    <row r="3" customFormat="false" ht="15" hidden="false" customHeight="false" outlineLevel="0" collapsed="false">
      <c r="A3" s="2" t="n">
        <v>2</v>
      </c>
      <c r="B3" s="3" t="s">
        <v>7</v>
      </c>
      <c r="C3" s="4" t="s">
        <v>5</v>
      </c>
      <c r="D3" s="3" t="s">
        <v>8</v>
      </c>
    </row>
    <row r="4" customFormat="false" ht="15" hidden="false" customHeight="false" outlineLevel="0" collapsed="false">
      <c r="A4" s="2" t="n">
        <v>3</v>
      </c>
      <c r="B4" s="3" t="s">
        <v>9</v>
      </c>
      <c r="C4" s="4" t="s">
        <v>5</v>
      </c>
      <c r="D4" s="3" t="s">
        <v>10</v>
      </c>
    </row>
    <row r="5" customFormat="false" ht="15" hidden="false" customHeight="false" outlineLevel="0" collapsed="false">
      <c r="A5" s="2" t="n">
        <v>4</v>
      </c>
      <c r="B5" s="3" t="s">
        <v>11</v>
      </c>
      <c r="C5" s="4" t="s">
        <v>5</v>
      </c>
      <c r="D5" s="3" t="s">
        <v>12</v>
      </c>
    </row>
    <row r="6" customFormat="false" ht="15" hidden="false" customHeight="false" outlineLevel="0" collapsed="false">
      <c r="A6" s="2" t="n">
        <v>5</v>
      </c>
      <c r="B6" s="3" t="s">
        <v>13</v>
      </c>
      <c r="C6" s="4" t="s">
        <v>5</v>
      </c>
      <c r="D6" s="3" t="s">
        <v>14</v>
      </c>
    </row>
    <row r="7" customFormat="false" ht="15" hidden="false" customHeight="false" outlineLevel="0" collapsed="false">
      <c r="A7" s="2" t="n">
        <v>6</v>
      </c>
      <c r="B7" s="3" t="s">
        <v>15</v>
      </c>
      <c r="C7" s="4" t="s">
        <v>5</v>
      </c>
      <c r="D7" s="3" t="s">
        <v>16</v>
      </c>
    </row>
    <row r="8" customFormat="false" ht="15" hidden="false" customHeight="false" outlineLevel="0" collapsed="false">
      <c r="A8" s="2" t="n">
        <v>7</v>
      </c>
      <c r="B8" s="3" t="s">
        <v>17</v>
      </c>
      <c r="C8" s="4" t="s">
        <v>5</v>
      </c>
      <c r="D8" s="3" t="s">
        <v>18</v>
      </c>
    </row>
    <row r="9" customFormat="false" ht="15" hidden="false" customHeight="false" outlineLevel="0" collapsed="false">
      <c r="A9" s="2" t="n">
        <v>8</v>
      </c>
      <c r="B9" s="3" t="s">
        <v>19</v>
      </c>
      <c r="C9" s="4" t="s">
        <v>5</v>
      </c>
      <c r="D9" s="3" t="s">
        <v>20</v>
      </c>
    </row>
    <row r="10" customFormat="false" ht="15" hidden="false" customHeight="false" outlineLevel="0" collapsed="false">
      <c r="A10" s="2" t="n">
        <v>9</v>
      </c>
      <c r="B10" s="3" t="s">
        <v>21</v>
      </c>
      <c r="C10" s="4" t="s">
        <v>5</v>
      </c>
      <c r="D10" s="3" t="s">
        <v>22</v>
      </c>
    </row>
    <row r="11" customFormat="false" ht="15" hidden="false" customHeight="false" outlineLevel="0" collapsed="false">
      <c r="A11" s="2" t="n">
        <v>10</v>
      </c>
      <c r="B11" s="3" t="s">
        <v>23</v>
      </c>
      <c r="C11" s="4" t="s">
        <v>24</v>
      </c>
      <c r="D11" s="3" t="s">
        <v>25</v>
      </c>
    </row>
    <row r="12" customFormat="false" ht="15" hidden="false" customHeight="false" outlineLevel="0" collapsed="false">
      <c r="A12" s="2" t="n">
        <v>11</v>
      </c>
      <c r="B12" s="3" t="s">
        <v>26</v>
      </c>
      <c r="C12" s="4" t="s">
        <v>5</v>
      </c>
      <c r="D12" s="3" t="s">
        <v>27</v>
      </c>
    </row>
    <row r="13" customFormat="false" ht="15" hidden="false" customHeight="false" outlineLevel="0" collapsed="false">
      <c r="A13" s="2" t="n">
        <v>12</v>
      </c>
      <c r="B13" s="3" t="s">
        <v>28</v>
      </c>
      <c r="C13" s="4" t="s">
        <v>5</v>
      </c>
      <c r="D13" s="3" t="s">
        <v>29</v>
      </c>
    </row>
    <row r="14" customFormat="false" ht="15" hidden="false" customHeight="false" outlineLevel="0" collapsed="false">
      <c r="A14" s="2" t="n">
        <v>13</v>
      </c>
      <c r="B14" s="3" t="s">
        <v>30</v>
      </c>
      <c r="C14" s="4" t="s">
        <v>24</v>
      </c>
      <c r="D14" s="3" t="s">
        <v>31</v>
      </c>
    </row>
    <row r="15" customFormat="false" ht="15" hidden="false" customHeight="false" outlineLevel="0" collapsed="false">
      <c r="A15" s="2" t="n">
        <v>14</v>
      </c>
      <c r="B15" s="3" t="s">
        <v>32</v>
      </c>
      <c r="C15" s="5" t="s">
        <v>33</v>
      </c>
      <c r="D15" s="3" t="s">
        <v>34</v>
      </c>
    </row>
    <row r="16" customFormat="false" ht="15" hidden="false" customHeight="false" outlineLevel="0" collapsed="false">
      <c r="A16" s="2" t="n">
        <v>15</v>
      </c>
      <c r="B16" s="3" t="s">
        <v>35</v>
      </c>
      <c r="C16" s="4" t="s">
        <v>5</v>
      </c>
      <c r="D16" s="3" t="s">
        <v>36</v>
      </c>
    </row>
    <row r="17" customFormat="false" ht="15" hidden="false" customHeight="false" outlineLevel="0" collapsed="false">
      <c r="A17" s="2" t="n">
        <v>16</v>
      </c>
      <c r="B17" s="3" t="s">
        <v>37</v>
      </c>
      <c r="C17" s="4" t="s">
        <v>5</v>
      </c>
      <c r="D17" s="3" t="s">
        <v>38</v>
      </c>
    </row>
    <row r="18" customFormat="false" ht="15" hidden="false" customHeight="false" outlineLevel="0" collapsed="false">
      <c r="A18" s="2" t="n">
        <v>17</v>
      </c>
      <c r="B18" s="3" t="s">
        <v>39</v>
      </c>
      <c r="C18" s="4" t="s">
        <v>5</v>
      </c>
      <c r="D18" s="3" t="s">
        <v>40</v>
      </c>
    </row>
    <row r="19" customFormat="false" ht="15" hidden="false" customHeight="false" outlineLevel="0" collapsed="false">
      <c r="A19" s="2" t="n">
        <v>18</v>
      </c>
      <c r="B19" s="3" t="s">
        <v>41</v>
      </c>
      <c r="C19" s="5" t="s">
        <v>33</v>
      </c>
      <c r="D19" s="3" t="s">
        <v>42</v>
      </c>
    </row>
    <row r="20" customFormat="false" ht="15" hidden="false" customHeight="false" outlineLevel="0" collapsed="false">
      <c r="A20" s="2" t="n">
        <v>19</v>
      </c>
      <c r="B20" s="3" t="s">
        <v>43</v>
      </c>
      <c r="C20" s="6" t="s">
        <v>44</v>
      </c>
      <c r="D20" s="3" t="s">
        <v>45</v>
      </c>
    </row>
    <row r="21" customFormat="false" ht="15" hidden="false" customHeight="false" outlineLevel="0" collapsed="false">
      <c r="A21" s="2" t="n">
        <v>20</v>
      </c>
      <c r="B21" s="3" t="s">
        <v>46</v>
      </c>
      <c r="C21" s="4" t="s">
        <v>5</v>
      </c>
      <c r="D21" s="3" t="s">
        <v>47</v>
      </c>
    </row>
    <row r="22" customFormat="false" ht="15" hidden="false" customHeight="false" outlineLevel="0" collapsed="false">
      <c r="A22" s="2" t="n">
        <v>21</v>
      </c>
      <c r="B22" s="3" t="s">
        <v>48</v>
      </c>
      <c r="C22" s="4" t="s">
        <v>5</v>
      </c>
      <c r="D22" s="3" t="s">
        <v>49</v>
      </c>
    </row>
    <row r="23" customFormat="false" ht="15" hidden="false" customHeight="false" outlineLevel="0" collapsed="false">
      <c r="A23" s="2" t="n">
        <v>22</v>
      </c>
      <c r="B23" s="3" t="s">
        <v>50</v>
      </c>
      <c r="C23" s="4" t="s">
        <v>5</v>
      </c>
      <c r="D23" s="3" t="s">
        <v>51</v>
      </c>
    </row>
    <row r="24" customFormat="false" ht="15" hidden="false" customHeight="false" outlineLevel="0" collapsed="false">
      <c r="A24" s="2" t="n">
        <v>23</v>
      </c>
      <c r="B24" s="3" t="s">
        <v>52</v>
      </c>
      <c r="C24" s="4" t="s">
        <v>5</v>
      </c>
      <c r="D24" s="3" t="s">
        <v>53</v>
      </c>
    </row>
    <row r="25" customFormat="false" ht="15" hidden="false" customHeight="false" outlineLevel="0" collapsed="false">
      <c r="A25" s="2" t="n">
        <v>24</v>
      </c>
      <c r="B25" s="3" t="s">
        <v>54</v>
      </c>
      <c r="C25" s="4" t="s">
        <v>5</v>
      </c>
      <c r="D25" s="3" t="s">
        <v>55</v>
      </c>
    </row>
    <row r="26" customFormat="false" ht="15" hidden="false" customHeight="false" outlineLevel="0" collapsed="false">
      <c r="A26" s="2" t="n">
        <v>25</v>
      </c>
      <c r="B26" s="3" t="s">
        <v>56</v>
      </c>
      <c r="C26" s="4" t="s">
        <v>5</v>
      </c>
      <c r="D26" s="3" t="s">
        <v>57</v>
      </c>
    </row>
    <row r="27" customFormat="false" ht="15" hidden="false" customHeight="false" outlineLevel="0" collapsed="false">
      <c r="A27" s="2" t="n">
        <v>26</v>
      </c>
      <c r="B27" s="3" t="s">
        <v>58</v>
      </c>
      <c r="C27" s="4" t="s">
        <v>5</v>
      </c>
      <c r="D27" s="3" t="s">
        <v>59</v>
      </c>
    </row>
    <row r="28" customFormat="false" ht="15" hidden="false" customHeight="false" outlineLevel="0" collapsed="false">
      <c r="A28" s="2" t="n">
        <v>27</v>
      </c>
      <c r="B28" s="3" t="s">
        <v>60</v>
      </c>
      <c r="C28" s="4" t="s">
        <v>5</v>
      </c>
      <c r="D28" s="3" t="s">
        <v>61</v>
      </c>
    </row>
    <row r="29" customFormat="false" ht="15" hidden="false" customHeight="false" outlineLevel="0" collapsed="false">
      <c r="A29" s="2" t="n">
        <v>28</v>
      </c>
      <c r="B29" s="3" t="s">
        <v>62</v>
      </c>
      <c r="C29" s="4" t="s">
        <v>5</v>
      </c>
      <c r="D29" s="3" t="s">
        <v>63</v>
      </c>
    </row>
    <row r="30" customFormat="false" ht="15" hidden="false" customHeight="false" outlineLevel="0" collapsed="false">
      <c r="A30" s="2" t="n">
        <v>29</v>
      </c>
      <c r="B30" s="3" t="s">
        <v>64</v>
      </c>
      <c r="C30" s="4" t="s">
        <v>5</v>
      </c>
      <c r="D30" s="3" t="s">
        <v>65</v>
      </c>
    </row>
    <row r="31" customFormat="false" ht="15" hidden="false" customHeight="false" outlineLevel="0" collapsed="false">
      <c r="A31" s="2" t="n">
        <v>30</v>
      </c>
      <c r="B31" s="3" t="s">
        <v>66</v>
      </c>
      <c r="C31" s="4" t="s">
        <v>5</v>
      </c>
      <c r="D31" s="3" t="s">
        <v>67</v>
      </c>
    </row>
    <row r="32" customFormat="false" ht="15" hidden="false" customHeight="false" outlineLevel="0" collapsed="false">
      <c r="A32" s="2" t="n">
        <v>31</v>
      </c>
      <c r="B32" s="3" t="s">
        <v>68</v>
      </c>
      <c r="C32" s="4" t="s">
        <v>5</v>
      </c>
      <c r="D32" s="3" t="s">
        <v>69</v>
      </c>
    </row>
    <row r="33" customFormat="false" ht="15" hidden="false" customHeight="false" outlineLevel="0" collapsed="false">
      <c r="A33" s="2" t="n">
        <v>32</v>
      </c>
      <c r="B33" s="3" t="s">
        <v>70</v>
      </c>
      <c r="C33" s="4" t="s">
        <v>5</v>
      </c>
      <c r="D33" s="3" t="s">
        <v>71</v>
      </c>
    </row>
    <row r="34" customFormat="false" ht="15" hidden="false" customHeight="false" outlineLevel="0" collapsed="false">
      <c r="A34" s="2" t="n">
        <v>33</v>
      </c>
      <c r="B34" s="3" t="s">
        <v>72</v>
      </c>
      <c r="C34" s="4" t="s">
        <v>5</v>
      </c>
      <c r="D34" s="3" t="s">
        <v>73</v>
      </c>
    </row>
    <row r="35" customFormat="false" ht="15" hidden="false" customHeight="false" outlineLevel="0" collapsed="false">
      <c r="A35" s="2" t="n">
        <v>34</v>
      </c>
      <c r="B35" s="3" t="s">
        <v>74</v>
      </c>
      <c r="C35" s="4" t="s">
        <v>5</v>
      </c>
      <c r="D35" s="3" t="s">
        <v>75</v>
      </c>
    </row>
    <row r="36" customFormat="false" ht="15" hidden="false" customHeight="false" outlineLevel="0" collapsed="false">
      <c r="A36" s="2" t="n">
        <v>35</v>
      </c>
      <c r="B36" s="3" t="s">
        <v>76</v>
      </c>
      <c r="C36" s="4" t="s">
        <v>5</v>
      </c>
      <c r="D36" s="3" t="s">
        <v>77</v>
      </c>
    </row>
    <row r="37" customFormat="false" ht="23.85" hidden="false" customHeight="false" outlineLevel="0" collapsed="false">
      <c r="A37" s="2" t="n">
        <v>36</v>
      </c>
      <c r="B37" s="3" t="s">
        <v>78</v>
      </c>
      <c r="C37" s="7" t="s">
        <v>79</v>
      </c>
      <c r="D37" s="3" t="s">
        <v>80</v>
      </c>
    </row>
    <row r="38" customFormat="false" ht="15" hidden="false" customHeight="false" outlineLevel="0" collapsed="false">
      <c r="A38" s="2" t="n">
        <v>37</v>
      </c>
      <c r="B38" s="3" t="s">
        <v>81</v>
      </c>
      <c r="C38" s="4" t="s">
        <v>5</v>
      </c>
      <c r="D38" s="3" t="s">
        <v>75</v>
      </c>
    </row>
    <row r="39" customFormat="false" ht="23.85" hidden="false" customHeight="false" outlineLevel="0" collapsed="false">
      <c r="A39" s="2" t="n">
        <v>38</v>
      </c>
      <c r="B39" s="3" t="s">
        <v>82</v>
      </c>
      <c r="C39" s="5" t="s">
        <v>33</v>
      </c>
      <c r="D39" s="3" t="s">
        <v>83</v>
      </c>
    </row>
    <row r="40" customFormat="false" ht="15" hidden="false" customHeight="false" outlineLevel="0" collapsed="false">
      <c r="A40" s="2" t="n">
        <v>39</v>
      </c>
      <c r="B40" s="3" t="s">
        <v>84</v>
      </c>
      <c r="C40" s="4" t="s">
        <v>5</v>
      </c>
      <c r="D40" s="3" t="s">
        <v>85</v>
      </c>
    </row>
    <row r="41" customFormat="false" ht="15" hidden="false" customHeight="false" outlineLevel="0" collapsed="false">
      <c r="A41" s="2" t="n">
        <v>40</v>
      </c>
      <c r="B41" s="3" t="s">
        <v>86</v>
      </c>
      <c r="C41" s="4" t="s">
        <v>5</v>
      </c>
      <c r="D41" s="3" t="s">
        <v>87</v>
      </c>
    </row>
    <row r="42" customFormat="false" ht="15" hidden="false" customHeight="false" outlineLevel="0" collapsed="false">
      <c r="A42" s="2" t="n">
        <v>41</v>
      </c>
      <c r="B42" s="3" t="s">
        <v>88</v>
      </c>
      <c r="C42" s="4" t="s">
        <v>5</v>
      </c>
      <c r="D42" s="3" t="s">
        <v>89</v>
      </c>
    </row>
    <row r="43" customFormat="false" ht="15" hidden="false" customHeight="false" outlineLevel="0" collapsed="false">
      <c r="A43" s="2" t="n">
        <v>42</v>
      </c>
      <c r="B43" s="3" t="s">
        <v>90</v>
      </c>
      <c r="C43" s="4" t="s">
        <v>5</v>
      </c>
      <c r="D43" s="3" t="s">
        <v>91</v>
      </c>
    </row>
    <row r="44" customFormat="false" ht="15" hidden="false" customHeight="false" outlineLevel="0" collapsed="false">
      <c r="A44" s="2" t="n">
        <v>43</v>
      </c>
      <c r="B44" s="3" t="s">
        <v>92</v>
      </c>
      <c r="C44" s="4" t="s">
        <v>5</v>
      </c>
      <c r="D44" s="3" t="s">
        <v>93</v>
      </c>
    </row>
    <row r="45" customFormat="false" ht="15" hidden="false" customHeight="false" outlineLevel="0" collapsed="false">
      <c r="A45" s="2" t="n">
        <v>44</v>
      </c>
      <c r="B45" s="3" t="s">
        <v>94</v>
      </c>
      <c r="C45" s="4" t="s">
        <v>5</v>
      </c>
      <c r="D45" s="3" t="s">
        <v>95</v>
      </c>
    </row>
    <row r="46" customFormat="false" ht="15" hidden="false" customHeight="false" outlineLevel="0" collapsed="false">
      <c r="A46" s="2" t="n">
        <v>45</v>
      </c>
      <c r="B46" s="3" t="s">
        <v>96</v>
      </c>
      <c r="C46" s="4" t="s">
        <v>5</v>
      </c>
      <c r="D46" s="3" t="s">
        <v>75</v>
      </c>
    </row>
    <row r="47" customFormat="false" ht="15" hidden="false" customHeight="false" outlineLevel="0" collapsed="false">
      <c r="A47" s="2" t="n">
        <v>46</v>
      </c>
      <c r="B47" s="3" t="s">
        <v>97</v>
      </c>
      <c r="C47" s="4" t="s">
        <v>5</v>
      </c>
      <c r="D47" s="3" t="s">
        <v>98</v>
      </c>
    </row>
    <row r="48" customFormat="false" ht="15" hidden="false" customHeight="false" outlineLevel="0" collapsed="false">
      <c r="A48" s="2" t="n">
        <v>47</v>
      </c>
      <c r="B48" s="3" t="s">
        <v>99</v>
      </c>
      <c r="C48" s="4" t="s">
        <v>5</v>
      </c>
      <c r="D48" s="3" t="s">
        <v>100</v>
      </c>
    </row>
    <row r="49" customFormat="false" ht="15" hidden="false" customHeight="false" outlineLevel="0" collapsed="false">
      <c r="A49" s="2" t="n">
        <v>48</v>
      </c>
      <c r="B49" s="3" t="s">
        <v>101</v>
      </c>
      <c r="C49" s="4" t="s">
        <v>5</v>
      </c>
      <c r="D49" s="3" t="s">
        <v>102</v>
      </c>
    </row>
    <row r="50" customFormat="false" ht="15" hidden="false" customHeight="false" outlineLevel="0" collapsed="false">
      <c r="A50" s="2" t="n">
        <v>49</v>
      </c>
      <c r="B50" s="3" t="s">
        <v>103</v>
      </c>
      <c r="C50" s="4" t="s">
        <v>5</v>
      </c>
      <c r="D50" s="3" t="s">
        <v>104</v>
      </c>
    </row>
    <row r="51" customFormat="false" ht="15" hidden="false" customHeight="false" outlineLevel="0" collapsed="false">
      <c r="A51" s="2" t="n">
        <v>50</v>
      </c>
      <c r="B51" s="3" t="s">
        <v>105</v>
      </c>
      <c r="C51" s="4" t="s">
        <v>5</v>
      </c>
      <c r="D51" s="3" t="s">
        <v>106</v>
      </c>
    </row>
    <row r="52" customFormat="false" ht="15" hidden="false" customHeight="false" outlineLevel="0" collapsed="false">
      <c r="A52" s="2" t="n">
        <v>51</v>
      </c>
      <c r="B52" s="3" t="s">
        <v>107</v>
      </c>
      <c r="C52" s="4" t="s">
        <v>5</v>
      </c>
      <c r="D52" s="3" t="s">
        <v>108</v>
      </c>
    </row>
  </sheetData>
  <autoFilter ref="A1:D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3" min="2" style="0" width="12"/>
  </cols>
  <sheetData>
    <row r="1" customFormat="false" ht="16.15" hidden="false" customHeight="false" outlineLevel="0" collapsed="false">
      <c r="A1" s="8" t="s">
        <v>109</v>
      </c>
    </row>
    <row r="2" customFormat="false" ht="15" hidden="false" customHeight="false" outlineLevel="0" collapsed="false">
      <c r="A2" s="9" t="s">
        <v>110</v>
      </c>
    </row>
    <row r="4" customFormat="false" ht="15" hidden="false" customHeight="false" outlineLevel="0" collapsed="false">
      <c r="A4" s="10" t="s">
        <v>2</v>
      </c>
      <c r="B4" s="10" t="s">
        <v>111</v>
      </c>
      <c r="C4" s="10" t="s">
        <v>112</v>
      </c>
    </row>
    <row r="5" customFormat="false" ht="15" hidden="false" customHeight="false" outlineLevel="0" collapsed="false">
      <c r="A5" s="11" t="s">
        <v>113</v>
      </c>
      <c r="B5" s="11" t="n">
        <f aca="false">COUNTIF(Labels!$C$2:$C$52,"SUPPORTS*")</f>
        <v>0</v>
      </c>
      <c r="C5" s="12" t="n">
        <f aca="false">IFERROR(B5/$B$9,0)</f>
        <v>0</v>
      </c>
    </row>
    <row r="6" customFormat="false" ht="15" hidden="false" customHeight="false" outlineLevel="0" collapsed="false">
      <c r="A6" s="11" t="s">
        <v>5</v>
      </c>
      <c r="B6" s="11" t="n">
        <f aca="false">COUNTIF(Labels!$C$2:$C$52,"REFUTES*")</f>
        <v>47</v>
      </c>
      <c r="C6" s="12" t="n">
        <f aca="false">IFERROR(B6/$B$9,0)</f>
        <v>0.92156862745098</v>
      </c>
    </row>
    <row r="7" customFormat="false" ht="15" hidden="false" customHeight="false" outlineLevel="0" collapsed="false">
      <c r="A7" s="11" t="s">
        <v>33</v>
      </c>
      <c r="B7" s="11" t="n">
        <f aca="false">COUNTIF(Labels!$C$2:$C$52,"NEI*")</f>
        <v>3</v>
      </c>
      <c r="C7" s="12" t="n">
        <f aca="false">IFERROR(B7/$B$9,0)</f>
        <v>0.0588235294117647</v>
      </c>
    </row>
    <row r="8" customFormat="false" ht="15" hidden="false" customHeight="false" outlineLevel="0" collapsed="false">
      <c r="A8" s="11" t="s">
        <v>114</v>
      </c>
      <c r="B8" s="11" t="n">
        <f aca="false">COUNTIF(Labels!$C$2:$C$52,"*MALFORMED*")+COUNTIFS(Labels!$C$2:$C$52,"*NEI*",Labels!$C$2:$C$52,"*REFUTES*")</f>
        <v>2</v>
      </c>
      <c r="C8" s="12" t="n">
        <f aca="false">IFERROR(B8/$B$9,0)</f>
        <v>0.0392156862745098</v>
      </c>
    </row>
    <row r="9" customFormat="false" ht="15" hidden="false" customHeight="false" outlineLevel="0" collapsed="false">
      <c r="A9" s="13" t="s">
        <v>115</v>
      </c>
      <c r="B9" s="13" t="n">
        <f aca="false">COUNTA(Labels!$A$2:$A$52)</f>
        <v>51</v>
      </c>
      <c r="C9" s="14" t="n">
        <f aca="false">IFERROR(SUM(C5:C8),0)</f>
        <v>1.01960784313725</v>
      </c>
    </row>
    <row r="11" customFormat="false" ht="15" hidden="false" customHeight="false" outlineLevel="0" collapsed="false">
      <c r="A11" s="15" t="s">
        <v>116</v>
      </c>
    </row>
    <row r="12" customFormat="false" ht="30" hidden="false" customHeight="true" outlineLevel="0" collapsed="false">
      <c r="A12" s="16" t="s">
        <v>117</v>
      </c>
    </row>
    <row r="13" customFormat="false" ht="30" hidden="false" customHeight="true" outlineLevel="0" collapsed="false">
      <c r="A13" s="16" t="s">
        <v>118</v>
      </c>
    </row>
    <row r="14" customFormat="false" ht="30" hidden="false" customHeight="true" outlineLevel="0" collapsed="false">
      <c r="A14" s="16" t="s">
        <v>119</v>
      </c>
    </row>
    <row r="15" customFormat="false" ht="30" hidden="false" customHeight="true" outlineLevel="0" collapsed="false">
      <c r="A15" s="16" t="s">
        <v>120</v>
      </c>
    </row>
    <row r="16" customFormat="false" ht="30" hidden="false" customHeight="true" outlineLevel="0" collapsed="false">
      <c r="A16" s="16" t="s">
        <v>121</v>
      </c>
    </row>
    <row r="17" customFormat="false" ht="30" hidden="false" customHeight="true" outlineLevel="0" collapsed="false">
      <c r="A17" s="16" t="s">
        <v>122</v>
      </c>
    </row>
    <row r="18" customFormat="false" ht="30" hidden="false" customHeight="true" outlineLevel="0" collapsed="false">
      <c r="A18" s="16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2026-07-11T08:58:55Z</dcterms:created>
  <dc:creator>openpyxl</dc:creator>
  <dc:description/>
  <dc:language>en-US</dc:language>
  <cp:lastModifiedBy/>
  <dcterms:modified xsi:type="dcterms:W3CDTF">2026-07-11T08:58:55Z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